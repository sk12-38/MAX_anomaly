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H58\Desktop\Quantifi\01_2025-2\02_메인 세션\Residual_MAX\Residual_MAX\KOSPI_KOSDAQ\투자제안서, 운용보고서\"/>
    </mc:Choice>
  </mc:AlternateContent>
  <xr:revisionPtr revIDLastSave="0" documentId="13_ncr:1_{5A1C21D4-D634-40AF-8E9A-68BB766F0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B2" i="1"/>
  <c r="AC2" i="1"/>
  <c r="AA5" i="1"/>
  <c r="AB5" i="1"/>
  <c r="AC5" i="1"/>
  <c r="AA16" i="1" a="1"/>
  <c r="AA16" i="1" s="1"/>
  <c r="AB16" i="1" a="1"/>
  <c r="AB16" i="1" s="1"/>
  <c r="AC16" i="1" a="1"/>
  <c r="AC16" i="1" s="1"/>
  <c r="AA14" i="1"/>
  <c r="AB14" i="1"/>
  <c r="AC14" i="1"/>
  <c r="AC10" i="1"/>
  <c r="Z14" i="1"/>
  <c r="Z5" i="1"/>
  <c r="Z2" i="1"/>
  <c r="AB10" i="1"/>
  <c r="AA10" i="1"/>
  <c r="Z10" i="1"/>
  <c r="Y95" i="1"/>
  <c r="Y96" i="1"/>
  <c r="Y97" i="1"/>
  <c r="Y98" i="1"/>
  <c r="Y99" i="1"/>
  <c r="Y100" i="1"/>
  <c r="Y101" i="1"/>
  <c r="Y102" i="1"/>
  <c r="X95" i="1"/>
  <c r="X96" i="1"/>
  <c r="X97" i="1"/>
  <c r="X98" i="1"/>
  <c r="X99" i="1"/>
  <c r="X100" i="1"/>
  <c r="X101" i="1"/>
  <c r="X102" i="1"/>
  <c r="W95" i="1"/>
  <c r="W96" i="1"/>
  <c r="W97" i="1"/>
  <c r="W98" i="1"/>
  <c r="W99" i="1"/>
  <c r="W100" i="1"/>
  <c r="W101" i="1"/>
  <c r="W102" i="1"/>
  <c r="V95" i="1"/>
  <c r="V96" i="1"/>
  <c r="V97" i="1"/>
  <c r="V98" i="1"/>
  <c r="V99" i="1"/>
  <c r="V100" i="1"/>
  <c r="V101" i="1"/>
  <c r="V102" i="1"/>
  <c r="J96" i="1"/>
  <c r="J97" i="1"/>
  <c r="J98" i="1"/>
  <c r="J99" i="1"/>
  <c r="J100" i="1"/>
  <c r="J101" i="1"/>
  <c r="J102" i="1"/>
  <c r="J103" i="1"/>
  <c r="I96" i="1"/>
  <c r="I97" i="1"/>
  <c r="I98" i="1"/>
  <c r="I99" i="1"/>
  <c r="I100" i="1"/>
  <c r="I101" i="1"/>
  <c r="I102" i="1"/>
  <c r="I103" i="1"/>
  <c r="G96" i="1"/>
  <c r="G97" i="1"/>
  <c r="G98" i="1"/>
  <c r="G99" i="1"/>
  <c r="G100" i="1"/>
  <c r="G101" i="1"/>
  <c r="G102" i="1"/>
  <c r="G103" i="1"/>
  <c r="J94" i="1"/>
  <c r="Y93" i="1" s="1"/>
  <c r="J95" i="1"/>
  <c r="Y94" i="1" s="1"/>
  <c r="I94" i="1"/>
  <c r="X93" i="1" s="1"/>
  <c r="I95" i="1"/>
  <c r="X94" i="1" s="1"/>
  <c r="H94" i="1"/>
  <c r="H95" i="1"/>
  <c r="W94" i="1" s="1"/>
  <c r="G94" i="1"/>
  <c r="V93" i="1" s="1"/>
  <c r="G95" i="1"/>
  <c r="V94" i="1" s="1"/>
  <c r="H84" i="1"/>
  <c r="H85" i="1"/>
  <c r="H86" i="1"/>
  <c r="H87" i="1"/>
  <c r="H88" i="1"/>
  <c r="H89" i="1"/>
  <c r="H90" i="1"/>
  <c r="H91" i="1"/>
  <c r="H92" i="1"/>
  <c r="H93" i="1"/>
  <c r="H83" i="1"/>
  <c r="W82" i="1" s="1"/>
  <c r="W2" i="1"/>
  <c r="X2" i="1"/>
  <c r="Y2" i="1"/>
  <c r="W3" i="1"/>
  <c r="Y3" i="1"/>
  <c r="W4" i="1"/>
  <c r="Y4" i="1"/>
  <c r="W5" i="1"/>
  <c r="Y5" i="1"/>
  <c r="W6" i="1"/>
  <c r="Y6" i="1"/>
  <c r="W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W20" i="1"/>
  <c r="W21" i="1"/>
  <c r="W22" i="1"/>
  <c r="W23" i="1"/>
  <c r="W24" i="1"/>
  <c r="W25" i="1"/>
  <c r="W26" i="1"/>
  <c r="W27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Y19" i="1" s="1"/>
  <c r="J21" i="1"/>
  <c r="Y20" i="1" s="1"/>
  <c r="J22" i="1"/>
  <c r="Y21" i="1" s="1"/>
  <c r="J23" i="1"/>
  <c r="Y22" i="1" s="1"/>
  <c r="J24" i="1"/>
  <c r="Y23" i="1" s="1"/>
  <c r="J25" i="1"/>
  <c r="Y24" i="1" s="1"/>
  <c r="J26" i="1"/>
  <c r="Y25" i="1" s="1"/>
  <c r="J27" i="1"/>
  <c r="Y26" i="1" s="1"/>
  <c r="J28" i="1"/>
  <c r="Y27" i="1" s="1"/>
  <c r="J29" i="1"/>
  <c r="Y28" i="1" s="1"/>
  <c r="J30" i="1"/>
  <c r="Y29" i="1" s="1"/>
  <c r="J31" i="1"/>
  <c r="Y30" i="1" s="1"/>
  <c r="J32" i="1"/>
  <c r="Y31" i="1" s="1"/>
  <c r="J33" i="1"/>
  <c r="Y32" i="1" s="1"/>
  <c r="J34" i="1"/>
  <c r="Y33" i="1" s="1"/>
  <c r="J35" i="1"/>
  <c r="Y34" i="1" s="1"/>
  <c r="J36" i="1"/>
  <c r="Y35" i="1" s="1"/>
  <c r="J37" i="1"/>
  <c r="Y36" i="1" s="1"/>
  <c r="J38" i="1"/>
  <c r="Y37" i="1" s="1"/>
  <c r="J39" i="1"/>
  <c r="Y38" i="1" s="1"/>
  <c r="J40" i="1"/>
  <c r="Y39" i="1" s="1"/>
  <c r="J41" i="1"/>
  <c r="Y40" i="1" s="1"/>
  <c r="J42" i="1"/>
  <c r="Y41" i="1" s="1"/>
  <c r="J43" i="1"/>
  <c r="Y42" i="1" s="1"/>
  <c r="J44" i="1"/>
  <c r="Y43" i="1" s="1"/>
  <c r="J45" i="1"/>
  <c r="Y44" i="1" s="1"/>
  <c r="J46" i="1"/>
  <c r="Y45" i="1" s="1"/>
  <c r="J47" i="1"/>
  <c r="Y46" i="1" s="1"/>
  <c r="J48" i="1"/>
  <c r="Y47" i="1" s="1"/>
  <c r="J49" i="1"/>
  <c r="Y48" i="1" s="1"/>
  <c r="J50" i="1"/>
  <c r="Y49" i="1" s="1"/>
  <c r="J51" i="1"/>
  <c r="Y50" i="1" s="1"/>
  <c r="J52" i="1"/>
  <c r="Y51" i="1" s="1"/>
  <c r="J53" i="1"/>
  <c r="Y52" i="1" s="1"/>
  <c r="J54" i="1"/>
  <c r="Y53" i="1" s="1"/>
  <c r="J55" i="1"/>
  <c r="Y54" i="1" s="1"/>
  <c r="J56" i="1"/>
  <c r="Y55" i="1" s="1"/>
  <c r="J57" i="1"/>
  <c r="Y56" i="1" s="1"/>
  <c r="J58" i="1"/>
  <c r="Y57" i="1" s="1"/>
  <c r="J59" i="1"/>
  <c r="Y58" i="1" s="1"/>
  <c r="J60" i="1"/>
  <c r="Y59" i="1" s="1"/>
  <c r="J61" i="1"/>
  <c r="Y60" i="1" s="1"/>
  <c r="J62" i="1"/>
  <c r="Y61" i="1" s="1"/>
  <c r="J63" i="1"/>
  <c r="Y62" i="1" s="1"/>
  <c r="J64" i="1"/>
  <c r="Y63" i="1" s="1"/>
  <c r="J65" i="1"/>
  <c r="Y64" i="1" s="1"/>
  <c r="J66" i="1"/>
  <c r="Y65" i="1" s="1"/>
  <c r="J67" i="1"/>
  <c r="J68" i="1"/>
  <c r="Y67" i="1" s="1"/>
  <c r="J69" i="1"/>
  <c r="Y68" i="1" s="1"/>
  <c r="J70" i="1"/>
  <c r="Y69" i="1" s="1"/>
  <c r="J71" i="1"/>
  <c r="Y70" i="1" s="1"/>
  <c r="J72" i="1"/>
  <c r="Y71" i="1" s="1"/>
  <c r="J73" i="1"/>
  <c r="Y72" i="1" s="1"/>
  <c r="J74" i="1"/>
  <c r="Y73" i="1" s="1"/>
  <c r="J75" i="1"/>
  <c r="Y74" i="1" s="1"/>
  <c r="J76" i="1"/>
  <c r="Y75" i="1" s="1"/>
  <c r="J77" i="1"/>
  <c r="Y76" i="1" s="1"/>
  <c r="J78" i="1"/>
  <c r="Y77" i="1" s="1"/>
  <c r="J79" i="1"/>
  <c r="Y78" i="1" s="1"/>
  <c r="J80" i="1"/>
  <c r="Y79" i="1" s="1"/>
  <c r="J81" i="1"/>
  <c r="Y80" i="1" s="1"/>
  <c r="J82" i="1"/>
  <c r="Y81" i="1" s="1"/>
  <c r="J83" i="1"/>
  <c r="Y82" i="1" s="1"/>
  <c r="J84" i="1"/>
  <c r="Y83" i="1" s="1"/>
  <c r="J85" i="1"/>
  <c r="Y84" i="1" s="1"/>
  <c r="J86" i="1"/>
  <c r="Y85" i="1" s="1"/>
  <c r="J87" i="1"/>
  <c r="Y86" i="1" s="1"/>
  <c r="J88" i="1"/>
  <c r="Y87" i="1" s="1"/>
  <c r="J89" i="1"/>
  <c r="Y88" i="1" s="1"/>
  <c r="J90" i="1"/>
  <c r="Y89" i="1" s="1"/>
  <c r="J91" i="1"/>
  <c r="Y90" i="1" s="1"/>
  <c r="J92" i="1"/>
  <c r="Y91" i="1" s="1"/>
  <c r="J93" i="1"/>
  <c r="Y92" i="1" s="1"/>
  <c r="J2" i="1"/>
  <c r="I3" i="1"/>
  <c r="I4" i="1"/>
  <c r="X3" i="1" s="1"/>
  <c r="I5" i="1"/>
  <c r="X4" i="1" s="1"/>
  <c r="I6" i="1"/>
  <c r="X5" i="1" s="1"/>
  <c r="I7" i="1"/>
  <c r="X6" i="1" s="1"/>
  <c r="I8" i="1"/>
  <c r="X7" i="1" s="1"/>
  <c r="I9" i="1"/>
  <c r="I10" i="1"/>
  <c r="I11" i="1"/>
  <c r="I12" i="1"/>
  <c r="I13" i="1"/>
  <c r="I14" i="1"/>
  <c r="I15" i="1"/>
  <c r="I16" i="1"/>
  <c r="I17" i="1"/>
  <c r="I18" i="1"/>
  <c r="I19" i="1"/>
  <c r="I20" i="1"/>
  <c r="X19" i="1" s="1"/>
  <c r="I21" i="1"/>
  <c r="X20" i="1" s="1"/>
  <c r="I22" i="1"/>
  <c r="X21" i="1" s="1"/>
  <c r="I23" i="1"/>
  <c r="X22" i="1" s="1"/>
  <c r="I24" i="1"/>
  <c r="X23" i="1" s="1"/>
  <c r="I25" i="1"/>
  <c r="X24" i="1" s="1"/>
  <c r="I26" i="1"/>
  <c r="X25" i="1" s="1"/>
  <c r="I27" i="1"/>
  <c r="X26" i="1" s="1"/>
  <c r="I28" i="1"/>
  <c r="X27" i="1" s="1"/>
  <c r="I29" i="1"/>
  <c r="X28" i="1" s="1"/>
  <c r="I30" i="1"/>
  <c r="X29" i="1" s="1"/>
  <c r="I31" i="1"/>
  <c r="X30" i="1" s="1"/>
  <c r="I32" i="1"/>
  <c r="X31" i="1" s="1"/>
  <c r="I33" i="1"/>
  <c r="X32" i="1" s="1"/>
  <c r="I34" i="1"/>
  <c r="X33" i="1" s="1"/>
  <c r="I35" i="1"/>
  <c r="X34" i="1" s="1"/>
  <c r="I36" i="1"/>
  <c r="X35" i="1" s="1"/>
  <c r="I37" i="1"/>
  <c r="X36" i="1" s="1"/>
  <c r="I38" i="1"/>
  <c r="X37" i="1" s="1"/>
  <c r="I39" i="1"/>
  <c r="X38" i="1" s="1"/>
  <c r="I40" i="1"/>
  <c r="X39" i="1" s="1"/>
  <c r="I41" i="1"/>
  <c r="X40" i="1" s="1"/>
  <c r="I42" i="1"/>
  <c r="X41" i="1" s="1"/>
  <c r="I43" i="1"/>
  <c r="X42" i="1" s="1"/>
  <c r="I44" i="1"/>
  <c r="X43" i="1" s="1"/>
  <c r="I45" i="1"/>
  <c r="X44" i="1" s="1"/>
  <c r="I46" i="1"/>
  <c r="X45" i="1" s="1"/>
  <c r="I47" i="1"/>
  <c r="X46" i="1" s="1"/>
  <c r="I48" i="1"/>
  <c r="X47" i="1" s="1"/>
  <c r="I49" i="1"/>
  <c r="X48" i="1" s="1"/>
  <c r="I50" i="1"/>
  <c r="X49" i="1" s="1"/>
  <c r="I51" i="1"/>
  <c r="X50" i="1" s="1"/>
  <c r="I52" i="1"/>
  <c r="I53" i="1"/>
  <c r="I54" i="1"/>
  <c r="X53" i="1" s="1"/>
  <c r="I55" i="1"/>
  <c r="X54" i="1" s="1"/>
  <c r="I56" i="1"/>
  <c r="X55" i="1" s="1"/>
  <c r="I57" i="1"/>
  <c r="I58" i="1"/>
  <c r="I59" i="1"/>
  <c r="X58" i="1" s="1"/>
  <c r="I60" i="1"/>
  <c r="X59" i="1" s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V72" i="1" s="1"/>
  <c r="G74" i="1"/>
  <c r="V73" i="1" s="1"/>
  <c r="G75" i="1"/>
  <c r="V74" i="1" s="1"/>
  <c r="G76" i="1"/>
  <c r="V75" i="1" s="1"/>
  <c r="G77" i="1"/>
  <c r="V76" i="1" s="1"/>
  <c r="G78" i="1"/>
  <c r="V77" i="1" s="1"/>
  <c r="G79" i="1"/>
  <c r="V78" i="1" s="1"/>
  <c r="G80" i="1"/>
  <c r="V79" i="1" s="1"/>
  <c r="G81" i="1"/>
  <c r="V80" i="1" s="1"/>
  <c r="G82" i="1"/>
  <c r="V81" i="1" s="1"/>
  <c r="G83" i="1"/>
  <c r="V82" i="1" s="1"/>
  <c r="G84" i="1"/>
  <c r="V83" i="1" s="1"/>
  <c r="G85" i="1"/>
  <c r="V84" i="1" s="1"/>
  <c r="G86" i="1"/>
  <c r="V85" i="1" s="1"/>
  <c r="G87" i="1"/>
  <c r="V86" i="1" s="1"/>
  <c r="G88" i="1"/>
  <c r="V87" i="1" s="1"/>
  <c r="G89" i="1"/>
  <c r="V88" i="1" s="1"/>
  <c r="G90" i="1"/>
  <c r="V89" i="1" s="1"/>
  <c r="G91" i="1"/>
  <c r="V90" i="1" s="1"/>
  <c r="G92" i="1"/>
  <c r="V91" i="1" s="1"/>
  <c r="G93" i="1"/>
  <c r="V92" i="1" s="1"/>
  <c r="G3" i="1"/>
  <c r="F47" i="1"/>
  <c r="H47" i="1" s="1"/>
  <c r="F48" i="1"/>
  <c r="H48" i="1" s="1"/>
  <c r="F49" i="1"/>
  <c r="H49" i="1" s="1"/>
  <c r="W48" i="1" s="1"/>
  <c r="F50" i="1"/>
  <c r="H50" i="1" s="1"/>
  <c r="W49" i="1" s="1"/>
  <c r="F51" i="1"/>
  <c r="H51" i="1" s="1"/>
  <c r="W50" i="1" s="1"/>
  <c r="F52" i="1"/>
  <c r="H52" i="1" s="1"/>
  <c r="W51" i="1" s="1"/>
  <c r="F53" i="1"/>
  <c r="H53" i="1" s="1"/>
  <c r="W52" i="1" s="1"/>
  <c r="F54" i="1"/>
  <c r="H54" i="1" s="1"/>
  <c r="W53" i="1" s="1"/>
  <c r="F55" i="1"/>
  <c r="H55" i="1" s="1"/>
  <c r="W54" i="1" s="1"/>
  <c r="F56" i="1"/>
  <c r="H56" i="1" s="1"/>
  <c r="W55" i="1" s="1"/>
  <c r="F57" i="1"/>
  <c r="H57" i="1" s="1"/>
  <c r="W56" i="1" s="1"/>
  <c r="F58" i="1"/>
  <c r="H58" i="1" s="1"/>
  <c r="W57" i="1" s="1"/>
  <c r="F59" i="1"/>
  <c r="H59" i="1" s="1"/>
  <c r="W58" i="1" s="1"/>
  <c r="F60" i="1"/>
  <c r="H60" i="1" s="1"/>
  <c r="W59" i="1" s="1"/>
  <c r="F61" i="1"/>
  <c r="H61" i="1" s="1"/>
  <c r="W60" i="1" s="1"/>
  <c r="F62" i="1"/>
  <c r="H62" i="1" s="1"/>
  <c r="W61" i="1" s="1"/>
  <c r="F63" i="1"/>
  <c r="H63" i="1" s="1"/>
  <c r="W62" i="1" s="1"/>
  <c r="F64" i="1"/>
  <c r="H64" i="1" s="1"/>
  <c r="W63" i="1" s="1"/>
  <c r="F65" i="1"/>
  <c r="H65" i="1" s="1"/>
  <c r="W64" i="1" s="1"/>
  <c r="F66" i="1"/>
  <c r="H66" i="1" s="1"/>
  <c r="W65" i="1" s="1"/>
  <c r="F67" i="1"/>
  <c r="H67" i="1" s="1"/>
  <c r="W66" i="1" s="1"/>
  <c r="F68" i="1"/>
  <c r="H68" i="1" s="1"/>
  <c r="W67" i="1" s="1"/>
  <c r="F69" i="1"/>
  <c r="H69" i="1" s="1"/>
  <c r="W68" i="1" s="1"/>
  <c r="F70" i="1"/>
  <c r="H70" i="1" s="1"/>
  <c r="W69" i="1" s="1"/>
  <c r="F71" i="1"/>
  <c r="H71" i="1" s="1"/>
  <c r="W70" i="1" s="1"/>
  <c r="F72" i="1"/>
  <c r="H72" i="1" s="1"/>
  <c r="W71" i="1" s="1"/>
  <c r="F73" i="1"/>
  <c r="H73" i="1" s="1"/>
  <c r="W72" i="1" s="1"/>
  <c r="F74" i="1"/>
  <c r="H74" i="1" s="1"/>
  <c r="W73" i="1" s="1"/>
  <c r="F75" i="1"/>
  <c r="H75" i="1" s="1"/>
  <c r="W74" i="1" s="1"/>
  <c r="F76" i="1"/>
  <c r="H76" i="1" s="1"/>
  <c r="W75" i="1" s="1"/>
  <c r="F77" i="1"/>
  <c r="H77" i="1" s="1"/>
  <c r="W76" i="1" s="1"/>
  <c r="F78" i="1"/>
  <c r="H78" i="1" s="1"/>
  <c r="W77" i="1" s="1"/>
  <c r="F79" i="1"/>
  <c r="H79" i="1" s="1"/>
  <c r="W78" i="1" s="1"/>
  <c r="F80" i="1"/>
  <c r="H80" i="1" s="1"/>
  <c r="W79" i="1" s="1"/>
  <c r="F81" i="1"/>
  <c r="H81" i="1" s="1"/>
  <c r="W80" i="1" s="1"/>
  <c r="F82" i="1"/>
  <c r="H82" i="1" s="1"/>
  <c r="W81" i="1" s="1"/>
  <c r="F46" i="1"/>
  <c r="H46" i="1" s="1"/>
  <c r="W45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W28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W42" i="1" s="1"/>
  <c r="F44" i="1"/>
  <c r="H44" i="1" s="1"/>
  <c r="W43" i="1" s="1"/>
  <c r="F45" i="1"/>
  <c r="H45" i="1" s="1"/>
  <c r="W44" i="1" s="1"/>
  <c r="F3" i="1"/>
  <c r="H3" i="1" s="1"/>
  <c r="X60" i="1" l="1"/>
  <c r="X61" i="1"/>
  <c r="V2" i="1"/>
  <c r="Z12" i="1" s="1"/>
  <c r="Z16" i="1" a="1"/>
  <c r="Z16" i="1" s="1"/>
  <c r="V3" i="1"/>
  <c r="Y66" i="1"/>
  <c r="X56" i="1"/>
  <c r="X57" i="1"/>
  <c r="W93" i="1"/>
  <c r="X52" i="1"/>
  <c r="X51" i="1"/>
  <c r="H99" i="1"/>
  <c r="H100" i="1"/>
  <c r="H101" i="1"/>
  <c r="H102" i="1"/>
  <c r="H103" i="1"/>
  <c r="H98" i="1"/>
  <c r="H97" i="1"/>
  <c r="H96" i="1"/>
  <c r="W47" i="1"/>
  <c r="W46" i="1"/>
  <c r="W83" i="1"/>
  <c r="AC8" i="1" l="1"/>
  <c r="AB8" i="1"/>
  <c r="AC12" i="1"/>
  <c r="AB12" i="1"/>
  <c r="W84" i="1"/>
  <c r="Z8" i="1" l="1"/>
  <c r="W85" i="1"/>
  <c r="W86" i="1" l="1"/>
  <c r="W87" i="1" l="1"/>
  <c r="W88" i="1" l="1"/>
  <c r="W89" i="1" l="1"/>
  <c r="W90" i="1" l="1"/>
  <c r="W92" i="1" l="1"/>
  <c r="W91" i="1"/>
  <c r="AA12" i="1" l="1"/>
  <c r="AA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<sst xmlns="http://schemas.openxmlformats.org/spreadsheetml/2006/main" count="42" uniqueCount="40">
  <si>
    <t>Date</t>
    <phoneticPr fontId="2" type="noConversion"/>
  </si>
  <si>
    <t>KOSPI</t>
    <phoneticPr fontId="2" type="noConversion"/>
  </si>
  <si>
    <t>Portfolio</t>
    <phoneticPr fontId="2" type="noConversion"/>
  </si>
  <si>
    <t>KOSPI (Initial_NAV=1)</t>
    <phoneticPr fontId="2" type="noConversion"/>
  </si>
  <si>
    <t>Portfolio (Initial_NAV=1)</t>
    <phoneticPr fontId="2" type="noConversion"/>
  </si>
  <si>
    <t>KOSDAQ</t>
    <phoneticPr fontId="2" type="noConversion"/>
  </si>
  <si>
    <t>KRX_TMI</t>
    <phoneticPr fontId="2" type="noConversion"/>
  </si>
  <si>
    <t>KOSDAQ (Initial_NAV=1)</t>
    <phoneticPr fontId="2" type="noConversion"/>
  </si>
  <si>
    <t>KRX_TMI (Initial_NAV=1)</t>
    <phoneticPr fontId="2" type="noConversion"/>
  </si>
  <si>
    <t>KOSPI_RET</t>
    <phoneticPr fontId="2" type="noConversion"/>
  </si>
  <si>
    <t>Portfolio_RET</t>
    <phoneticPr fontId="2" type="noConversion"/>
  </si>
  <si>
    <t>KOSDAQ_RET</t>
    <phoneticPr fontId="2" type="noConversion"/>
  </si>
  <si>
    <t>KRX_TMI_RET</t>
    <phoneticPr fontId="2" type="noConversion"/>
  </si>
  <si>
    <t>KOSPI_MEAN</t>
    <phoneticPr fontId="2" type="noConversion"/>
  </si>
  <si>
    <t>Portfolio_MEAN</t>
    <phoneticPr fontId="2" type="noConversion"/>
  </si>
  <si>
    <t>KOSDAQ_MEAN</t>
    <phoneticPr fontId="2" type="noConversion"/>
  </si>
  <si>
    <t>KRX_TMI_MEAN</t>
    <phoneticPr fontId="2" type="noConversion"/>
  </si>
  <si>
    <t>KOSPI_VOL</t>
    <phoneticPr fontId="2" type="noConversion"/>
  </si>
  <si>
    <t>Portfolio_VOL</t>
    <phoneticPr fontId="2" type="noConversion"/>
  </si>
  <si>
    <t>KOSDAQ_VOL</t>
    <phoneticPr fontId="2" type="noConversion"/>
  </si>
  <si>
    <t>KRX_TMI_VOL</t>
    <phoneticPr fontId="2" type="noConversion"/>
  </si>
  <si>
    <t>KOSPI_SHARPE</t>
    <phoneticPr fontId="2" type="noConversion"/>
  </si>
  <si>
    <t>Portfolio_SHARPE</t>
    <phoneticPr fontId="2" type="noConversion"/>
  </si>
  <si>
    <t>KOSDAQ_SHARPE</t>
    <phoneticPr fontId="2" type="noConversion"/>
  </si>
  <si>
    <t>KRX_TMI_SHARPE</t>
    <phoneticPr fontId="2" type="noConversion"/>
  </si>
  <si>
    <t>KOSPI_CARG</t>
    <phoneticPr fontId="2" type="noConversion"/>
  </si>
  <si>
    <t>KOSPI_SHARPE_Y</t>
    <phoneticPr fontId="2" type="noConversion"/>
  </si>
  <si>
    <t>Portfolio_SHARPE_Y</t>
    <phoneticPr fontId="2" type="noConversion"/>
  </si>
  <si>
    <t>Portfolio_MDD</t>
    <phoneticPr fontId="2" type="noConversion"/>
  </si>
  <si>
    <t>KOSPI_MDD</t>
    <phoneticPr fontId="2" type="noConversion"/>
  </si>
  <si>
    <t>KOSPI_VOL_Y</t>
    <phoneticPr fontId="2" type="noConversion"/>
  </si>
  <si>
    <t>Portfolio_VOL_Y</t>
    <phoneticPr fontId="2" type="noConversion"/>
  </si>
  <si>
    <t>Portfolio_CARG</t>
    <phoneticPr fontId="2" type="noConversion"/>
  </si>
  <si>
    <t>KOSDAQ_CARG</t>
    <phoneticPr fontId="2" type="noConversion"/>
  </si>
  <si>
    <t>KRX_TMI_CARG</t>
    <phoneticPr fontId="2" type="noConversion"/>
  </si>
  <si>
    <t>KOSDAQ_VOL_Y</t>
    <phoneticPr fontId="2" type="noConversion"/>
  </si>
  <si>
    <t>KRX_TMI_VOL_Y</t>
    <phoneticPr fontId="2" type="noConversion"/>
  </si>
  <si>
    <t>KOSDAQ_SHARPE_Y</t>
    <phoneticPr fontId="2" type="noConversion"/>
  </si>
  <si>
    <t>KOSDAQ_MDD</t>
    <phoneticPr fontId="2" type="noConversion"/>
  </si>
  <si>
    <t>KRX_TMI_MDD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</si>
</sst>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%"/>
    <numFmt numFmtId="178" formatCode="0_);[Red]\(0\)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0" fillId="0" borderId="1" xfId="0" applyBorder="1"/>
    <xf numFmtId="176" fontId="4" fillId="2" borderId="0" xfId="0" applyNumberFormat="1" applyFont="1" applyFill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76" fontId="4" fillId="2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177" fontId="0" fillId="0" borderId="0" xfId="1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10" fontId="0" fillId="0" borderId="0" xfId="1" applyNumberFormat="1" applyFont="1" applyAlignment="1"/>
    <xf numFmtId="176" fontId="4" fillId="2" borderId="0" xfId="2" applyNumberFormat="1" applyFont="1" applyFill="1" applyAlignment="1">
      <alignment horizontal="center" vertical="center"/>
    </xf>
    <xf numFmtId="4" fontId="5" fillId="0" borderId="0" xfId="2" applyNumberFormat="1" applyFont="1" applyAlignment="1">
      <alignment horizontal="right" vertical="center"/>
    </xf>
    <xf numFmtId="178" fontId="0" fillId="0" borderId="0" xfId="0" applyNumberFormat="1"/>
    <xf numFmtId="178" fontId="0" fillId="0" borderId="0" xfId="0" applyNumberFormat="1" applyAlignment="1">
      <alignment vertical="center"/>
    </xf>
    <xf numFmtId="178" fontId="0" fillId="0" borderId="1" xfId="0" applyNumberFormat="1" applyBorder="1"/>
    <xf numFmtId="178" fontId="5" fillId="0" borderId="0" xfId="2" applyNumberFormat="1" applyFont="1" applyAlignment="1">
      <alignment horizontal="right" vertical="center"/>
    </xf>
    <xf numFmtId="176" fontId="4" fillId="2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right"/>
    </xf>
  </cellXfs>
  <cellStyles count="3">
    <cellStyle name="백분율" xfId="1" builtinId="5"/>
    <cellStyle name="표준" xfId="0" builtinId="0"/>
    <cellStyle name="표준 2" xfId="2" xr:uid="{B5E133DA-AA97-42A2-A658-51AF9FB89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포트폴리오</a:t>
            </a:r>
            <a:r>
              <a:rPr lang="en-US" altLang="ko-KR" baseline="0"/>
              <a:t> NAV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KOSPI (Initial_NAV=1)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Sheet1!$G$2:$G$103</c:f>
              <c:numCache>
                <c:formatCode>General</c:formatCode>
                <c:ptCount val="102"/>
                <c:pt idx="0">
                  <c:v>1</c:v>
                </c:pt>
                <c:pt idx="1">
                  <c:v>0.99841592832457671</c:v>
                </c:pt>
                <c:pt idx="2">
                  <c:v>1.017404414517431</c:v>
                </c:pt>
                <c:pt idx="3">
                  <c:v>1.027940273876315</c:v>
                </c:pt>
                <c:pt idx="4">
                  <c:v>1.0259563641734941</c:v>
                </c:pt>
                <c:pt idx="5">
                  <c:v>1.0441757351798888</c:v>
                </c:pt>
                <c:pt idx="6">
                  <c:v>1.0581318650533924</c:v>
                </c:pt>
                <c:pt idx="7">
                  <c:v>1.0552540499517393</c:v>
                </c:pt>
                <c:pt idx="8">
                  <c:v>1.0530765880827893</c:v>
                </c:pt>
                <c:pt idx="9">
                  <c:v>1.0468676383324971</c:v>
                </c:pt>
                <c:pt idx="10">
                  <c:v>1.0612669007968745</c:v>
                </c:pt>
                <c:pt idx="11">
                  <c:v>1.04176652005939</c:v>
                </c:pt>
                <c:pt idx="12">
                  <c:v>1.018474044909196</c:v>
                </c:pt>
                <c:pt idx="13">
                  <c:v>1.0330617660616463</c:v>
                </c:pt>
                <c:pt idx="14">
                  <c:v>1.0172974514782547</c:v>
                </c:pt>
                <c:pt idx="15">
                  <c:v>1.0239291599071969</c:v>
                </c:pt>
                <c:pt idx="16">
                  <c:v>1.0456732177283599</c:v>
                </c:pt>
                <c:pt idx="17">
                  <c:v>1.0485739534812648</c:v>
                </c:pt>
                <c:pt idx="18">
                  <c:v>1.0463582905268947</c:v>
                </c:pt>
                <c:pt idx="19">
                  <c:v>1.0517217229198872</c:v>
                </c:pt>
                <c:pt idx="20">
                  <c:v>1.0748664872064566</c:v>
                </c:pt>
                <c:pt idx="21">
                  <c:v>1.0732391209675571</c:v>
                </c:pt>
                <c:pt idx="22">
                  <c:v>1.0975502917289557</c:v>
                </c:pt>
                <c:pt idx="23">
                  <c:v>1.1352140152142189</c:v>
                </c:pt>
                <c:pt idx="24">
                  <c:v>1.1525216536485856</c:v>
                </c:pt>
                <c:pt idx="25">
                  <c:v>1.1590362120822393</c:v>
                </c:pt>
                <c:pt idx="26">
                  <c:v>1.1593698348949086</c:v>
                </c:pt>
                <c:pt idx="27">
                  <c:v>1.168016013895008</c:v>
                </c:pt>
                <c:pt idx="28">
                  <c:v>1.1778133189357687</c:v>
                </c:pt>
                <c:pt idx="29">
                  <c:v>1.1950929432408273</c:v>
                </c:pt>
                <c:pt idx="30">
                  <c:v>1.2028503103201507</c:v>
                </c:pt>
                <c:pt idx="31">
                  <c:v>1.2218107823836968</c:v>
                </c:pt>
                <c:pt idx="32">
                  <c:v>1.2328101482456788</c:v>
                </c:pt>
                <c:pt idx="33">
                  <c:v>1.2490889041127289</c:v>
                </c:pt>
                <c:pt idx="34">
                  <c:v>1.2442730206107588</c:v>
                </c:pt>
                <c:pt idx="35">
                  <c:v>1.2504310355804911</c:v>
                </c:pt>
                <c:pt idx="36">
                  <c:v>1.2612801438398202</c:v>
                </c:pt>
                <c:pt idx="37">
                  <c:v>1.2708406021509757</c:v>
                </c:pt>
                <c:pt idx="38">
                  <c:v>1.2605314025655849</c:v>
                </c:pt>
                <c:pt idx="39">
                  <c:v>1.2949785946584695</c:v>
                </c:pt>
                <c:pt idx="40">
                  <c:v>1.3168703633432572</c:v>
                </c:pt>
                <c:pt idx="41">
                  <c:v>1.3297161150005474</c:v>
                </c:pt>
                <c:pt idx="42">
                  <c:v>1.330508150838259</c:v>
                </c:pt>
                <c:pt idx="43">
                  <c:v>1.2605517764778089</c:v>
                </c:pt>
                <c:pt idx="44">
                  <c:v>1.3467359719247489</c:v>
                </c:pt>
                <c:pt idx="45">
                  <c:v>1.3678789993353011</c:v>
                </c:pt>
                <c:pt idx="46">
                  <c:v>1.3150265242869765</c:v>
                </c:pt>
                <c:pt idx="47">
                  <c:v>1.2960711457014866</c:v>
                </c:pt>
                <c:pt idx="48">
                  <c:v>1.3492725239966485</c:v>
                </c:pt>
                <c:pt idx="49">
                  <c:v>1.3502020837418727</c:v>
                </c:pt>
                <c:pt idx="50">
                  <c:v>1.3636488658097738</c:v>
                </c:pt>
                <c:pt idx="51">
                  <c:v>1.4063780532217522</c:v>
                </c:pt>
                <c:pt idx="52">
                  <c:v>1.4024917294650066</c:v>
                </c:pt>
                <c:pt idx="53">
                  <c:v>1.4458474146778757</c:v>
                </c:pt>
                <c:pt idx="54">
                  <c:v>1.4792810046376117</c:v>
                </c:pt>
                <c:pt idx="55">
                  <c:v>1.4888465564268232</c:v>
                </c:pt>
                <c:pt idx="56">
                  <c:v>1.5203115171179065</c:v>
                </c:pt>
                <c:pt idx="57">
                  <c:v>1.5494003702958545</c:v>
                </c:pt>
                <c:pt idx="58">
                  <c:v>1.6062970669206615</c:v>
                </c:pt>
                <c:pt idx="59">
                  <c:v>1.5902169566977962</c:v>
                </c:pt>
                <c:pt idx="60">
                  <c:v>1.4750483243730563</c:v>
                </c:pt>
                <c:pt idx="61">
                  <c:v>1.2971917108738116</c:v>
                </c:pt>
                <c:pt idx="62">
                  <c:v>1.4220736058513874</c:v>
                </c:pt>
                <c:pt idx="63">
                  <c:v>1.4223206395371046</c:v>
                </c:pt>
                <c:pt idx="64">
                  <c:v>1.337514229904319</c:v>
                </c:pt>
                <c:pt idx="65">
                  <c:v>1.4090062878986602</c:v>
                </c:pt>
                <c:pt idx="66">
                  <c:v>1.4287078610193578</c:v>
                </c:pt>
                <c:pt idx="67">
                  <c:v>1.4219080678145668</c:v>
                </c:pt>
                <c:pt idx="68">
                  <c:v>1.3974568264066276</c:v>
                </c:pt>
                <c:pt idx="69">
                  <c:v>1.4134019594610081</c:v>
                </c:pt>
                <c:pt idx="70">
                  <c:v>1.436483055271877</c:v>
                </c:pt>
                <c:pt idx="71">
                  <c:v>1.5089505143139466</c:v>
                </c:pt>
                <c:pt idx="72">
                  <c:v>1.4677417301016913</c:v>
                </c:pt>
                <c:pt idx="73">
                  <c:v>1.4723207668740561</c:v>
                </c:pt>
                <c:pt idx="74">
                  <c:v>1.3767034500673612</c:v>
                </c:pt>
                <c:pt idx="75">
                  <c:v>1.4144384822454088</c:v>
                </c:pt>
                <c:pt idx="76">
                  <c:v>1.4369236411237232</c:v>
                </c:pt>
                <c:pt idx="77">
                  <c:v>1.3906366592896127</c:v>
                </c:pt>
                <c:pt idx="78">
                  <c:v>1.3851382497281355</c:v>
                </c:pt>
                <c:pt idx="79">
                  <c:v>1.3439905872525524</c:v>
                </c:pt>
                <c:pt idx="80">
                  <c:v>1.28672970694674</c:v>
                </c:pt>
                <c:pt idx="81">
                  <c:v>1.3952819112767056</c:v>
                </c:pt>
                <c:pt idx="82">
                  <c:v>1.3329759409564024</c:v>
                </c:pt>
                <c:pt idx="83">
                  <c:v>1.3694579775326683</c:v>
                </c:pt>
                <c:pt idx="84">
                  <c:v>1.3880568126542367</c:v>
                </c:pt>
                <c:pt idx="85">
                  <c:v>1.3993770676337483</c:v>
                </c:pt>
                <c:pt idx="86">
                  <c:v>1.4955317463753537</c:v>
                </c:pt>
                <c:pt idx="87">
                  <c:v>1.4715083571241203</c:v>
                </c:pt>
                <c:pt idx="88">
                  <c:v>1.4921012889046219</c:v>
                </c:pt>
                <c:pt idx="89">
                  <c:v>1.4793039252888638</c:v>
                </c:pt>
                <c:pt idx="90">
                  <c:v>1.5198301834416121</c:v>
                </c:pt>
                <c:pt idx="91">
                  <c:v>1.5513180647839475</c:v>
                </c:pt>
                <c:pt idx="92">
                  <c:v>1.5856124525351514</c:v>
                </c:pt>
                <c:pt idx="93">
                  <c:v>1.5769204322325479</c:v>
                </c:pt>
                <c:pt idx="94">
                  <c:v>1.5838399221716553</c:v>
                </c:pt>
                <c:pt idx="95">
                  <c:v>1.6269765878281155</c:v>
                </c:pt>
                <c:pt idx="96">
                  <c:v>1.6344792810046376</c:v>
                </c:pt>
                <c:pt idx="97">
                  <c:v>1.6492198064987686</c:v>
                </c:pt>
                <c:pt idx="98">
                  <c:v>1.6491739651962645</c:v>
                </c:pt>
                <c:pt idx="99">
                  <c:v>1.6846755072467459</c:v>
                </c:pt>
                <c:pt idx="100">
                  <c:v>1.691294481980548</c:v>
                </c:pt>
                <c:pt idx="101">
                  <c:v>1.7039976162522696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D-4472-83E0-6EA7E9784751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Portfolio (Initial_NAV=1)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Sheet1!$H$2:$H$103</c:f>
              <c:numCache>
                <c:formatCode>General</c:formatCode>
                <c:ptCount val="102"/>
                <c:pt idx="0">
                  <c:v>1</c:v>
                </c:pt>
                <c:pt idx="1">
                  <c:v>1.0017560000000001</c:v>
                </c:pt>
                <c:pt idx="2">
                  <c:v>1.0062653333333333</c:v>
                </c:pt>
                <c:pt idx="3">
                  <c:v>1.0105746666666666</c:v>
                </c:pt>
                <c:pt idx="4">
                  <c:v>1.0099880000000001</c:v>
                </c:pt>
                <c:pt idx="5">
                  <c:v>1.0155806666666667</c:v>
                </c:pt>
                <c:pt idx="6">
                  <c:v>1.0157906666666667</c:v>
                </c:pt>
                <c:pt idx="7">
                  <c:v>1.0130333333333332</c:v>
                </c:pt>
                <c:pt idx="8">
                  <c:v>1.0166766666666667</c:v>
                </c:pt>
                <c:pt idx="9">
                  <c:v>1.0185713333333333</c:v>
                </c:pt>
                <c:pt idx="10">
                  <c:v>1.0223513333333334</c:v>
                </c:pt>
                <c:pt idx="11">
                  <c:v>1.028316</c:v>
                </c:pt>
                <c:pt idx="12">
                  <c:v>1.0172053333333333</c:v>
                </c:pt>
                <c:pt idx="13">
                  <c:v>1.0190453333333334</c:v>
                </c:pt>
                <c:pt idx="14">
                  <c:v>1.0187426666666666</c:v>
                </c:pt>
                <c:pt idx="15">
                  <c:v>1.0208426666666666</c:v>
                </c:pt>
                <c:pt idx="16">
                  <c:v>1.0240100000000001</c:v>
                </c:pt>
                <c:pt idx="17">
                  <c:v>1.0220326666666666</c:v>
                </c:pt>
                <c:pt idx="18">
                  <c:v>1.0220346666666666</c:v>
                </c:pt>
                <c:pt idx="19">
                  <c:v>1.017606</c:v>
                </c:pt>
                <c:pt idx="20">
                  <c:v>1.0137193333333334</c:v>
                </c:pt>
                <c:pt idx="21">
                  <c:v>1.0140286666666667</c:v>
                </c:pt>
                <c:pt idx="22">
                  <c:v>1.0163186666666666</c:v>
                </c:pt>
                <c:pt idx="23">
                  <c:v>1.01075</c:v>
                </c:pt>
                <c:pt idx="24">
                  <c:v>1.0086740000000001</c:v>
                </c:pt>
                <c:pt idx="25">
                  <c:v>0.99985333333333337</c:v>
                </c:pt>
                <c:pt idx="26">
                  <c:v>0.99046866666666666</c:v>
                </c:pt>
                <c:pt idx="27">
                  <c:v>0.99315533333333328</c:v>
                </c:pt>
                <c:pt idx="28">
                  <c:v>0.99344333333333334</c:v>
                </c:pt>
                <c:pt idx="29">
                  <c:v>0.99508866666666662</c:v>
                </c:pt>
                <c:pt idx="30">
                  <c:v>0.99866200000000005</c:v>
                </c:pt>
                <c:pt idx="31">
                  <c:v>1.0045519999999999</c:v>
                </c:pt>
                <c:pt idx="32">
                  <c:v>0.99898600000000004</c:v>
                </c:pt>
                <c:pt idx="33">
                  <c:v>1.0080260000000001</c:v>
                </c:pt>
                <c:pt idx="34">
                  <c:v>1.0188133333333333</c:v>
                </c:pt>
                <c:pt idx="35">
                  <c:v>1.0167586666666666</c:v>
                </c:pt>
                <c:pt idx="36">
                  <c:v>1.0149406666666667</c:v>
                </c:pt>
                <c:pt idx="37">
                  <c:v>1.0179713333333333</c:v>
                </c:pt>
                <c:pt idx="38">
                  <c:v>1.0271546666666667</c:v>
                </c:pt>
                <c:pt idx="39">
                  <c:v>1.0345759999999999</c:v>
                </c:pt>
                <c:pt idx="40">
                  <c:v>1.0353546666666666</c:v>
                </c:pt>
                <c:pt idx="41">
                  <c:v>1.04044</c:v>
                </c:pt>
                <c:pt idx="42">
                  <c:v>1.0317093333333334</c:v>
                </c:pt>
                <c:pt idx="43">
                  <c:v>1.0207619999999999</c:v>
                </c:pt>
                <c:pt idx="44">
                  <c:v>1.0290573333333333</c:v>
                </c:pt>
                <c:pt idx="45">
                  <c:v>1.0358446666666667</c:v>
                </c:pt>
                <c:pt idx="46">
                  <c:v>1.0351919999999999</c:v>
                </c:pt>
                <c:pt idx="47">
                  <c:v>1.0291566666666667</c:v>
                </c:pt>
                <c:pt idx="48">
                  <c:v>1.0354753333333333</c:v>
                </c:pt>
                <c:pt idx="49">
                  <c:v>1.0440206666666667</c:v>
                </c:pt>
                <c:pt idx="50">
                  <c:v>1.0514380000000001</c:v>
                </c:pt>
                <c:pt idx="51">
                  <c:v>1.0546806666666666</c:v>
                </c:pt>
                <c:pt idx="52">
                  <c:v>1.0513613333333334</c:v>
                </c:pt>
                <c:pt idx="53">
                  <c:v>1.0567753333333334</c:v>
                </c:pt>
                <c:pt idx="54">
                  <c:v>1.0572473333333334</c:v>
                </c:pt>
                <c:pt idx="55">
                  <c:v>1.0691219999999999</c:v>
                </c:pt>
                <c:pt idx="56">
                  <c:v>1.0681366666666667</c:v>
                </c:pt>
                <c:pt idx="57">
                  <c:v>1.0690746666666666</c:v>
                </c:pt>
                <c:pt idx="58">
                  <c:v>1.0559926666666666</c:v>
                </c:pt>
                <c:pt idx="59">
                  <c:v>1.0509820000000001</c:v>
                </c:pt>
                <c:pt idx="60">
                  <c:v>1.0341313333333333</c:v>
                </c:pt>
                <c:pt idx="61">
                  <c:v>0.96279866666666669</c:v>
                </c:pt>
                <c:pt idx="62">
                  <c:v>1.0034546666666666</c:v>
                </c:pt>
                <c:pt idx="63">
                  <c:v>1.0140753333333334</c:v>
                </c:pt>
                <c:pt idx="64">
                  <c:v>0.99058266666666661</c:v>
                </c:pt>
                <c:pt idx="65">
                  <c:v>1.0031686666666666</c:v>
                </c:pt>
                <c:pt idx="66">
                  <c:v>1.0180393333333333</c:v>
                </c:pt>
                <c:pt idx="67">
                  <c:v>1.0305553333333333</c:v>
                </c:pt>
                <c:pt idx="68">
                  <c:v>1.0352446666666666</c:v>
                </c:pt>
                <c:pt idx="69">
                  <c:v>1.0348173333333333</c:v>
                </c:pt>
                <c:pt idx="70">
                  <c:v>1.039274</c:v>
                </c:pt>
                <c:pt idx="71">
                  <c:v>1.0473466666666666</c:v>
                </c:pt>
                <c:pt idx="72">
                  <c:v>1.0473239999999999</c:v>
                </c:pt>
                <c:pt idx="73">
                  <c:v>1.0534533333333334</c:v>
                </c:pt>
                <c:pt idx="74">
                  <c:v>1.0416126666666667</c:v>
                </c:pt>
                <c:pt idx="75">
                  <c:v>1.0465933333333333</c:v>
                </c:pt>
                <c:pt idx="76">
                  <c:v>1.0561893333333334</c:v>
                </c:pt>
                <c:pt idx="77">
                  <c:v>1.0578186666666667</c:v>
                </c:pt>
                <c:pt idx="78">
                  <c:v>1.0628393333333332</c:v>
                </c:pt>
                <c:pt idx="79">
                  <c:v>1.0533353333333333</c:v>
                </c:pt>
                <c:pt idx="80">
                  <c:v>1.0375386666666666</c:v>
                </c:pt>
                <c:pt idx="81">
                  <c:v>1.047746231454</c:v>
                </c:pt>
                <c:pt idx="82">
                  <c:v>1.0228310372973333</c:v>
                </c:pt>
                <c:pt idx="83">
                  <c:v>1.0314109633013333</c:v>
                </c:pt>
                <c:pt idx="84">
                  <c:v>1.0304989668133333</c:v>
                </c:pt>
                <c:pt idx="85">
                  <c:v>1.0283753845473331</c:v>
                </c:pt>
                <c:pt idx="86">
                  <c:v>1.0491209701873332</c:v>
                </c:pt>
                <c:pt idx="87">
                  <c:v>1.0506368141793332</c:v>
                </c:pt>
                <c:pt idx="88">
                  <c:v>1.0718866436113332</c:v>
                </c:pt>
                <c:pt idx="89">
                  <c:v>1.078227301788</c:v>
                </c:pt>
                <c:pt idx="90">
                  <c:v>1.090647417782</c:v>
                </c:pt>
                <c:pt idx="91">
                  <c:v>1.1170431796160001</c:v>
                </c:pt>
                <c:pt idx="92">
                  <c:v>1.133853640478</c:v>
                </c:pt>
                <c:pt idx="93">
                  <c:v>1.1390654565853333</c:v>
                </c:pt>
                <c:pt idx="94">
                  <c:v>1.1428579197966666</c:v>
                </c:pt>
                <c:pt idx="95">
                  <c:v>1.1402988306753332</c:v>
                </c:pt>
                <c:pt idx="96">
                  <c:v>1.1475117994859998</c:v>
                </c:pt>
                <c:pt idx="97">
                  <c:v>1.1383435890579998</c:v>
                </c:pt>
                <c:pt idx="98">
                  <c:v>1.1470506135486667</c:v>
                </c:pt>
                <c:pt idx="99">
                  <c:v>1.1537655637993334</c:v>
                </c:pt>
                <c:pt idx="100">
                  <c:v>1.1659058037379999</c:v>
                </c:pt>
                <c:pt idx="101">
                  <c:v>1.1684495891640001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D-4472-83E0-6EA7E9784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410528"/>
        <c:axId val="1631417728"/>
      </c:lineChart>
      <c:dateAx>
        <c:axId val="1631410528"/>
        <c:scaling>
          <c:orientation val="minMax"/>
        </c:scaling>
        <c:delete val="0"/>
        <c:axPos val="b"/>
        <c:numFmt formatCode="yy/mm/dd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1417728"/>
        <c:crosses val="autoZero"/>
        <c:auto val="1"/>
        <c:lblOffset val="100"/>
        <c:baseTimeUnit val="days"/>
        <c:majorUnit val="10"/>
        <c:majorTimeUnit val="days"/>
      </c:dateAx>
      <c:valAx>
        <c:axId val="1631417728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141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여러 벤치마크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KOSPI (Initial_NAV=1)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Sheet1!$G$2:$G$103</c:f>
              <c:numCache>
                <c:formatCode>General</c:formatCode>
                <c:ptCount val="102"/>
                <c:pt idx="0">
                  <c:v>1</c:v>
                </c:pt>
                <c:pt idx="1">
                  <c:v>0.99841592832457671</c:v>
                </c:pt>
                <c:pt idx="2">
                  <c:v>1.017404414517431</c:v>
                </c:pt>
                <c:pt idx="3">
                  <c:v>1.027940273876315</c:v>
                </c:pt>
                <c:pt idx="4">
                  <c:v>1.0259563641734941</c:v>
                </c:pt>
                <c:pt idx="5">
                  <c:v>1.0441757351798888</c:v>
                </c:pt>
                <c:pt idx="6">
                  <c:v>1.0581318650533924</c:v>
                </c:pt>
                <c:pt idx="7">
                  <c:v>1.0552540499517393</c:v>
                </c:pt>
                <c:pt idx="8">
                  <c:v>1.0530765880827893</c:v>
                </c:pt>
                <c:pt idx="9">
                  <c:v>1.0468676383324971</c:v>
                </c:pt>
                <c:pt idx="10">
                  <c:v>1.0612669007968745</c:v>
                </c:pt>
                <c:pt idx="11">
                  <c:v>1.04176652005939</c:v>
                </c:pt>
                <c:pt idx="12">
                  <c:v>1.018474044909196</c:v>
                </c:pt>
                <c:pt idx="13">
                  <c:v>1.0330617660616463</c:v>
                </c:pt>
                <c:pt idx="14">
                  <c:v>1.0172974514782547</c:v>
                </c:pt>
                <c:pt idx="15">
                  <c:v>1.0239291599071969</c:v>
                </c:pt>
                <c:pt idx="16">
                  <c:v>1.0456732177283599</c:v>
                </c:pt>
                <c:pt idx="17">
                  <c:v>1.0485739534812648</c:v>
                </c:pt>
                <c:pt idx="18">
                  <c:v>1.0463582905268947</c:v>
                </c:pt>
                <c:pt idx="19">
                  <c:v>1.0517217229198872</c:v>
                </c:pt>
                <c:pt idx="20">
                  <c:v>1.0748664872064566</c:v>
                </c:pt>
                <c:pt idx="21">
                  <c:v>1.0732391209675571</c:v>
                </c:pt>
                <c:pt idx="22">
                  <c:v>1.0975502917289557</c:v>
                </c:pt>
                <c:pt idx="23">
                  <c:v>1.1352140152142189</c:v>
                </c:pt>
                <c:pt idx="24">
                  <c:v>1.1525216536485856</c:v>
                </c:pt>
                <c:pt idx="25">
                  <c:v>1.1590362120822393</c:v>
                </c:pt>
                <c:pt idx="26">
                  <c:v>1.1593698348949086</c:v>
                </c:pt>
                <c:pt idx="27">
                  <c:v>1.168016013895008</c:v>
                </c:pt>
                <c:pt idx="28">
                  <c:v>1.1778133189357687</c:v>
                </c:pt>
                <c:pt idx="29">
                  <c:v>1.1950929432408273</c:v>
                </c:pt>
                <c:pt idx="30">
                  <c:v>1.2028503103201507</c:v>
                </c:pt>
                <c:pt idx="31">
                  <c:v>1.2218107823836968</c:v>
                </c:pt>
                <c:pt idx="32">
                  <c:v>1.2328101482456788</c:v>
                </c:pt>
                <c:pt idx="33">
                  <c:v>1.2490889041127289</c:v>
                </c:pt>
                <c:pt idx="34">
                  <c:v>1.2442730206107588</c:v>
                </c:pt>
                <c:pt idx="35">
                  <c:v>1.2504310355804911</c:v>
                </c:pt>
                <c:pt idx="36">
                  <c:v>1.2612801438398202</c:v>
                </c:pt>
                <c:pt idx="37">
                  <c:v>1.2708406021509757</c:v>
                </c:pt>
                <c:pt idx="38">
                  <c:v>1.2605314025655849</c:v>
                </c:pt>
                <c:pt idx="39">
                  <c:v>1.2949785946584695</c:v>
                </c:pt>
                <c:pt idx="40">
                  <c:v>1.3168703633432572</c:v>
                </c:pt>
                <c:pt idx="41">
                  <c:v>1.3297161150005474</c:v>
                </c:pt>
                <c:pt idx="42">
                  <c:v>1.330508150838259</c:v>
                </c:pt>
                <c:pt idx="43">
                  <c:v>1.2605517764778089</c:v>
                </c:pt>
                <c:pt idx="44">
                  <c:v>1.3467359719247489</c:v>
                </c:pt>
                <c:pt idx="45">
                  <c:v>1.3678789993353011</c:v>
                </c:pt>
                <c:pt idx="46">
                  <c:v>1.3150265242869765</c:v>
                </c:pt>
                <c:pt idx="47">
                  <c:v>1.2960711457014866</c:v>
                </c:pt>
                <c:pt idx="48">
                  <c:v>1.3492725239966485</c:v>
                </c:pt>
                <c:pt idx="49">
                  <c:v>1.3502020837418727</c:v>
                </c:pt>
                <c:pt idx="50">
                  <c:v>1.3636488658097738</c:v>
                </c:pt>
                <c:pt idx="51">
                  <c:v>1.4063780532217522</c:v>
                </c:pt>
                <c:pt idx="52">
                  <c:v>1.4024917294650066</c:v>
                </c:pt>
                <c:pt idx="53">
                  <c:v>1.4458474146778757</c:v>
                </c:pt>
                <c:pt idx="54">
                  <c:v>1.4792810046376117</c:v>
                </c:pt>
                <c:pt idx="55">
                  <c:v>1.4888465564268232</c:v>
                </c:pt>
                <c:pt idx="56">
                  <c:v>1.5203115171179065</c:v>
                </c:pt>
                <c:pt idx="57">
                  <c:v>1.5494003702958545</c:v>
                </c:pt>
                <c:pt idx="58">
                  <c:v>1.6062970669206615</c:v>
                </c:pt>
                <c:pt idx="59">
                  <c:v>1.5902169566977962</c:v>
                </c:pt>
                <c:pt idx="60">
                  <c:v>1.4750483243730563</c:v>
                </c:pt>
                <c:pt idx="61">
                  <c:v>1.2971917108738116</c:v>
                </c:pt>
                <c:pt idx="62">
                  <c:v>1.4220736058513874</c:v>
                </c:pt>
                <c:pt idx="63">
                  <c:v>1.4223206395371046</c:v>
                </c:pt>
                <c:pt idx="64">
                  <c:v>1.337514229904319</c:v>
                </c:pt>
                <c:pt idx="65">
                  <c:v>1.4090062878986602</c:v>
                </c:pt>
                <c:pt idx="66">
                  <c:v>1.4287078610193578</c:v>
                </c:pt>
                <c:pt idx="67">
                  <c:v>1.4219080678145668</c:v>
                </c:pt>
                <c:pt idx="68">
                  <c:v>1.3974568264066276</c:v>
                </c:pt>
                <c:pt idx="69">
                  <c:v>1.4134019594610081</c:v>
                </c:pt>
                <c:pt idx="70">
                  <c:v>1.436483055271877</c:v>
                </c:pt>
                <c:pt idx="71">
                  <c:v>1.5089505143139466</c:v>
                </c:pt>
                <c:pt idx="72">
                  <c:v>1.4677417301016913</c:v>
                </c:pt>
                <c:pt idx="73">
                  <c:v>1.4723207668740561</c:v>
                </c:pt>
                <c:pt idx="74">
                  <c:v>1.3767034500673612</c:v>
                </c:pt>
                <c:pt idx="75">
                  <c:v>1.4144384822454088</c:v>
                </c:pt>
                <c:pt idx="76">
                  <c:v>1.4369236411237232</c:v>
                </c:pt>
                <c:pt idx="77">
                  <c:v>1.3906366592896127</c:v>
                </c:pt>
                <c:pt idx="78">
                  <c:v>1.3851382497281355</c:v>
                </c:pt>
                <c:pt idx="79">
                  <c:v>1.3439905872525524</c:v>
                </c:pt>
                <c:pt idx="80">
                  <c:v>1.28672970694674</c:v>
                </c:pt>
                <c:pt idx="81">
                  <c:v>1.3952819112767056</c:v>
                </c:pt>
                <c:pt idx="82">
                  <c:v>1.3329759409564024</c:v>
                </c:pt>
                <c:pt idx="83">
                  <c:v>1.3694579775326683</c:v>
                </c:pt>
                <c:pt idx="84">
                  <c:v>1.3880568126542367</c:v>
                </c:pt>
                <c:pt idx="85">
                  <c:v>1.3993770676337483</c:v>
                </c:pt>
                <c:pt idx="86">
                  <c:v>1.4955317463753537</c:v>
                </c:pt>
                <c:pt idx="87">
                  <c:v>1.4715083571241203</c:v>
                </c:pt>
                <c:pt idx="88">
                  <c:v>1.4921012889046219</c:v>
                </c:pt>
                <c:pt idx="89">
                  <c:v>1.4793039252888638</c:v>
                </c:pt>
                <c:pt idx="90">
                  <c:v>1.5198301834416121</c:v>
                </c:pt>
                <c:pt idx="91">
                  <c:v>1.5513180647839475</c:v>
                </c:pt>
                <c:pt idx="92">
                  <c:v>1.5856124525351514</c:v>
                </c:pt>
                <c:pt idx="93">
                  <c:v>1.5769204322325479</c:v>
                </c:pt>
                <c:pt idx="94">
                  <c:v>1.5838399221716553</c:v>
                </c:pt>
                <c:pt idx="95">
                  <c:v>1.6269765878281155</c:v>
                </c:pt>
                <c:pt idx="96">
                  <c:v>1.6344792810046376</c:v>
                </c:pt>
                <c:pt idx="97">
                  <c:v>1.6492198064987686</c:v>
                </c:pt>
                <c:pt idx="98">
                  <c:v>1.6491739651962645</c:v>
                </c:pt>
                <c:pt idx="99">
                  <c:v>1.6846755072467459</c:v>
                </c:pt>
                <c:pt idx="100">
                  <c:v>1.691294481980548</c:v>
                </c:pt>
                <c:pt idx="101">
                  <c:v>1.7039976162522696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B-4DD6-A9F6-E6989324FF0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Portfolio (Initial_NAV=1)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Sheet1!$H$2:$H$103</c:f>
              <c:numCache>
                <c:formatCode>General</c:formatCode>
                <c:ptCount val="102"/>
                <c:pt idx="0">
                  <c:v>1</c:v>
                </c:pt>
                <c:pt idx="1">
                  <c:v>1.0017560000000001</c:v>
                </c:pt>
                <c:pt idx="2">
                  <c:v>1.0062653333333333</c:v>
                </c:pt>
                <c:pt idx="3">
                  <c:v>1.0105746666666666</c:v>
                </c:pt>
                <c:pt idx="4">
                  <c:v>1.0099880000000001</c:v>
                </c:pt>
                <c:pt idx="5">
                  <c:v>1.0155806666666667</c:v>
                </c:pt>
                <c:pt idx="6">
                  <c:v>1.0157906666666667</c:v>
                </c:pt>
                <c:pt idx="7">
                  <c:v>1.0130333333333332</c:v>
                </c:pt>
                <c:pt idx="8">
                  <c:v>1.0166766666666667</c:v>
                </c:pt>
                <c:pt idx="9">
                  <c:v>1.0185713333333333</c:v>
                </c:pt>
                <c:pt idx="10">
                  <c:v>1.0223513333333334</c:v>
                </c:pt>
                <c:pt idx="11">
                  <c:v>1.028316</c:v>
                </c:pt>
                <c:pt idx="12">
                  <c:v>1.0172053333333333</c:v>
                </c:pt>
                <c:pt idx="13">
                  <c:v>1.0190453333333334</c:v>
                </c:pt>
                <c:pt idx="14">
                  <c:v>1.0187426666666666</c:v>
                </c:pt>
                <c:pt idx="15">
                  <c:v>1.0208426666666666</c:v>
                </c:pt>
                <c:pt idx="16">
                  <c:v>1.0240100000000001</c:v>
                </c:pt>
                <c:pt idx="17">
                  <c:v>1.0220326666666666</c:v>
                </c:pt>
                <c:pt idx="18">
                  <c:v>1.0220346666666666</c:v>
                </c:pt>
                <c:pt idx="19">
                  <c:v>1.017606</c:v>
                </c:pt>
                <c:pt idx="20">
                  <c:v>1.0137193333333334</c:v>
                </c:pt>
                <c:pt idx="21">
                  <c:v>1.0140286666666667</c:v>
                </c:pt>
                <c:pt idx="22">
                  <c:v>1.0163186666666666</c:v>
                </c:pt>
                <c:pt idx="23">
                  <c:v>1.01075</c:v>
                </c:pt>
                <c:pt idx="24">
                  <c:v>1.0086740000000001</c:v>
                </c:pt>
                <c:pt idx="25">
                  <c:v>0.99985333333333337</c:v>
                </c:pt>
                <c:pt idx="26">
                  <c:v>0.99046866666666666</c:v>
                </c:pt>
                <c:pt idx="27">
                  <c:v>0.99315533333333328</c:v>
                </c:pt>
                <c:pt idx="28">
                  <c:v>0.99344333333333334</c:v>
                </c:pt>
                <c:pt idx="29">
                  <c:v>0.99508866666666662</c:v>
                </c:pt>
                <c:pt idx="30">
                  <c:v>0.99866200000000005</c:v>
                </c:pt>
                <c:pt idx="31">
                  <c:v>1.0045519999999999</c:v>
                </c:pt>
                <c:pt idx="32">
                  <c:v>0.99898600000000004</c:v>
                </c:pt>
                <c:pt idx="33">
                  <c:v>1.0080260000000001</c:v>
                </c:pt>
                <c:pt idx="34">
                  <c:v>1.0188133333333333</c:v>
                </c:pt>
                <c:pt idx="35">
                  <c:v>1.0167586666666666</c:v>
                </c:pt>
                <c:pt idx="36">
                  <c:v>1.0149406666666667</c:v>
                </c:pt>
                <c:pt idx="37">
                  <c:v>1.0179713333333333</c:v>
                </c:pt>
                <c:pt idx="38">
                  <c:v>1.0271546666666667</c:v>
                </c:pt>
                <c:pt idx="39">
                  <c:v>1.0345759999999999</c:v>
                </c:pt>
                <c:pt idx="40">
                  <c:v>1.0353546666666666</c:v>
                </c:pt>
                <c:pt idx="41">
                  <c:v>1.04044</c:v>
                </c:pt>
                <c:pt idx="42">
                  <c:v>1.0317093333333334</c:v>
                </c:pt>
                <c:pt idx="43">
                  <c:v>1.0207619999999999</c:v>
                </c:pt>
                <c:pt idx="44">
                  <c:v>1.0290573333333333</c:v>
                </c:pt>
                <c:pt idx="45">
                  <c:v>1.0358446666666667</c:v>
                </c:pt>
                <c:pt idx="46">
                  <c:v>1.0351919999999999</c:v>
                </c:pt>
                <c:pt idx="47">
                  <c:v>1.0291566666666667</c:v>
                </c:pt>
                <c:pt idx="48">
                  <c:v>1.0354753333333333</c:v>
                </c:pt>
                <c:pt idx="49">
                  <c:v>1.0440206666666667</c:v>
                </c:pt>
                <c:pt idx="50">
                  <c:v>1.0514380000000001</c:v>
                </c:pt>
                <c:pt idx="51">
                  <c:v>1.0546806666666666</c:v>
                </c:pt>
                <c:pt idx="52">
                  <c:v>1.0513613333333334</c:v>
                </c:pt>
                <c:pt idx="53">
                  <c:v>1.0567753333333334</c:v>
                </c:pt>
                <c:pt idx="54">
                  <c:v>1.0572473333333334</c:v>
                </c:pt>
                <c:pt idx="55">
                  <c:v>1.0691219999999999</c:v>
                </c:pt>
                <c:pt idx="56">
                  <c:v>1.0681366666666667</c:v>
                </c:pt>
                <c:pt idx="57">
                  <c:v>1.0690746666666666</c:v>
                </c:pt>
                <c:pt idx="58">
                  <c:v>1.0559926666666666</c:v>
                </c:pt>
                <c:pt idx="59">
                  <c:v>1.0509820000000001</c:v>
                </c:pt>
                <c:pt idx="60">
                  <c:v>1.0341313333333333</c:v>
                </c:pt>
                <c:pt idx="61">
                  <c:v>0.96279866666666669</c:v>
                </c:pt>
                <c:pt idx="62">
                  <c:v>1.0034546666666666</c:v>
                </c:pt>
                <c:pt idx="63">
                  <c:v>1.0140753333333334</c:v>
                </c:pt>
                <c:pt idx="64">
                  <c:v>0.99058266666666661</c:v>
                </c:pt>
                <c:pt idx="65">
                  <c:v>1.0031686666666666</c:v>
                </c:pt>
                <c:pt idx="66">
                  <c:v>1.0180393333333333</c:v>
                </c:pt>
                <c:pt idx="67">
                  <c:v>1.0305553333333333</c:v>
                </c:pt>
                <c:pt idx="68">
                  <c:v>1.0352446666666666</c:v>
                </c:pt>
                <c:pt idx="69">
                  <c:v>1.0348173333333333</c:v>
                </c:pt>
                <c:pt idx="70">
                  <c:v>1.039274</c:v>
                </c:pt>
                <c:pt idx="71">
                  <c:v>1.0473466666666666</c:v>
                </c:pt>
                <c:pt idx="72">
                  <c:v>1.0473239999999999</c:v>
                </c:pt>
                <c:pt idx="73">
                  <c:v>1.0534533333333334</c:v>
                </c:pt>
                <c:pt idx="74">
                  <c:v>1.0416126666666667</c:v>
                </c:pt>
                <c:pt idx="75">
                  <c:v>1.0465933333333333</c:v>
                </c:pt>
                <c:pt idx="76">
                  <c:v>1.0561893333333334</c:v>
                </c:pt>
                <c:pt idx="77">
                  <c:v>1.0578186666666667</c:v>
                </c:pt>
                <c:pt idx="78">
                  <c:v>1.0628393333333332</c:v>
                </c:pt>
                <c:pt idx="79">
                  <c:v>1.0533353333333333</c:v>
                </c:pt>
                <c:pt idx="80">
                  <c:v>1.0375386666666666</c:v>
                </c:pt>
                <c:pt idx="81">
                  <c:v>1.047746231454</c:v>
                </c:pt>
                <c:pt idx="82">
                  <c:v>1.0228310372973333</c:v>
                </c:pt>
                <c:pt idx="83">
                  <c:v>1.0314109633013333</c:v>
                </c:pt>
                <c:pt idx="84">
                  <c:v>1.0304989668133333</c:v>
                </c:pt>
                <c:pt idx="85">
                  <c:v>1.0283753845473331</c:v>
                </c:pt>
                <c:pt idx="86">
                  <c:v>1.0491209701873332</c:v>
                </c:pt>
                <c:pt idx="87">
                  <c:v>1.0506368141793332</c:v>
                </c:pt>
                <c:pt idx="88">
                  <c:v>1.0718866436113332</c:v>
                </c:pt>
                <c:pt idx="89">
                  <c:v>1.078227301788</c:v>
                </c:pt>
                <c:pt idx="90">
                  <c:v>1.090647417782</c:v>
                </c:pt>
                <c:pt idx="91">
                  <c:v>1.1170431796160001</c:v>
                </c:pt>
                <c:pt idx="92">
                  <c:v>1.133853640478</c:v>
                </c:pt>
                <c:pt idx="93">
                  <c:v>1.1390654565853333</c:v>
                </c:pt>
                <c:pt idx="94">
                  <c:v>1.1428579197966666</c:v>
                </c:pt>
                <c:pt idx="95">
                  <c:v>1.1402988306753332</c:v>
                </c:pt>
                <c:pt idx="96">
                  <c:v>1.1475117994859998</c:v>
                </c:pt>
                <c:pt idx="97">
                  <c:v>1.1383435890579998</c:v>
                </c:pt>
                <c:pt idx="98">
                  <c:v>1.1470506135486667</c:v>
                </c:pt>
                <c:pt idx="99">
                  <c:v>1.1537655637993334</c:v>
                </c:pt>
                <c:pt idx="100">
                  <c:v>1.1659058037379999</c:v>
                </c:pt>
                <c:pt idx="101">
                  <c:v>1.1684495891640001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B-4DD6-A9F6-E6989324FF06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KOSDAQ (Initial_NAV=1)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Sheet1!$I$2:$I$103</c:f>
              <c:numCache>
                <c:formatCode>General</c:formatCode>
                <c:ptCount val="102"/>
                <c:pt idx="0">
                  <c:v>1</c:v>
                </c:pt>
                <c:pt idx="1">
                  <c:v>1.0106391138089343</c:v>
                </c:pt>
                <c:pt idx="2">
                  <c:v>1.017257058958879</c:v>
                </c:pt>
                <c:pt idx="3">
                  <c:v>1.0211905727152202</c:v>
                </c:pt>
                <c:pt idx="4">
                  <c:v>1.0188019766180547</c:v>
                </c:pt>
                <c:pt idx="5">
                  <c:v>1.0132249334370584</c:v>
                </c:pt>
                <c:pt idx="6">
                  <c:v>1.0165667766005237</c:v>
                </c:pt>
                <c:pt idx="7">
                  <c:v>1.0204674197683721</c:v>
                </c:pt>
                <c:pt idx="8">
                  <c:v>1.0244666747016995</c:v>
                </c:pt>
                <c:pt idx="9">
                  <c:v>1.0240722276397822</c:v>
                </c:pt>
                <c:pt idx="10">
                  <c:v>1.0270305806041615</c:v>
                </c:pt>
                <c:pt idx="11">
                  <c:v>1.0286631531659856</c:v>
                </c:pt>
                <c:pt idx="12">
                  <c:v>1.0037691608138759</c:v>
                </c:pt>
                <c:pt idx="13">
                  <c:v>0.99824690194703458</c:v>
                </c:pt>
                <c:pt idx="14">
                  <c:v>0.98757491754960725</c:v>
                </c:pt>
                <c:pt idx="15">
                  <c:v>1.0028487843360689</c:v>
                </c:pt>
                <c:pt idx="16">
                  <c:v>1.0180459530827133</c:v>
                </c:pt>
                <c:pt idx="17">
                  <c:v>1.0075492784905826</c:v>
                </c:pt>
                <c:pt idx="18">
                  <c:v>1.0027720862962517</c:v>
                </c:pt>
                <c:pt idx="19">
                  <c:v>1.007669803981724</c:v>
                </c:pt>
                <c:pt idx="20">
                  <c:v>1.0218260707594202</c:v>
                </c:pt>
                <c:pt idx="21">
                  <c:v>1.0140247844237238</c:v>
                </c:pt>
                <c:pt idx="22">
                  <c:v>1.0360480787141026</c:v>
                </c:pt>
                <c:pt idx="23">
                  <c:v>1.0491196160715264</c:v>
                </c:pt>
                <c:pt idx="24">
                  <c:v>1.0474432160583782</c:v>
                </c:pt>
                <c:pt idx="25">
                  <c:v>1.0380422277493508</c:v>
                </c:pt>
                <c:pt idx="26">
                  <c:v>1.0343935924266163</c:v>
                </c:pt>
                <c:pt idx="27">
                  <c:v>1.0386229414793957</c:v>
                </c:pt>
                <c:pt idx="28">
                  <c:v>1.0406937885544612</c:v>
                </c:pt>
                <c:pt idx="29">
                  <c:v>1.0397843689394852</c:v>
                </c:pt>
                <c:pt idx="30">
                  <c:v>1.0323337022143819</c:v>
                </c:pt>
                <c:pt idx="31">
                  <c:v>1.0421729650366507</c:v>
                </c:pt>
                <c:pt idx="32">
                  <c:v>1.0459311689876956</c:v>
                </c:pt>
                <c:pt idx="33">
                  <c:v>1.0610187691060295</c:v>
                </c:pt>
                <c:pt idx="34">
                  <c:v>1.0697952162336881</c:v>
                </c:pt>
                <c:pt idx="35">
                  <c:v>1.0423154042534541</c:v>
                </c:pt>
                <c:pt idx="36">
                  <c:v>1.0631991848094053</c:v>
                </c:pt>
                <c:pt idx="37">
                  <c:v>1.089035467364984</c:v>
                </c:pt>
                <c:pt idx="38">
                  <c:v>1.1662594365981134</c:v>
                </c:pt>
                <c:pt idx="39">
                  <c:v>1.1861790132249335</c:v>
                </c:pt>
                <c:pt idx="40">
                  <c:v>1.2419823156233907</c:v>
                </c:pt>
                <c:pt idx="41">
                  <c:v>1.2758280649084555</c:v>
                </c:pt>
                <c:pt idx="42">
                  <c:v>1.2594256412503972</c:v>
                </c:pt>
                <c:pt idx="43">
                  <c:v>1.2034579859094743</c:v>
                </c:pt>
                <c:pt idx="44">
                  <c:v>1.2538266843437387</c:v>
                </c:pt>
                <c:pt idx="45">
                  <c:v>1.2594146843875662</c:v>
                </c:pt>
                <c:pt idx="46">
                  <c:v>1.2144696330546638</c:v>
                </c:pt>
                <c:pt idx="47">
                  <c:v>1.1841848641896853</c:v>
                </c:pt>
                <c:pt idx="48">
                  <c:v>1.2354410685132633</c:v>
                </c:pt>
                <c:pt idx="49">
                  <c:v>1.2219093429169361</c:v>
                </c:pt>
                <c:pt idx="50">
                  <c:v>1.2215477664435119</c:v>
                </c:pt>
                <c:pt idx="51">
                  <c:v>1.233731797911622</c:v>
                </c:pt>
                <c:pt idx="52">
                  <c:v>1.2119166840150328</c:v>
                </c:pt>
                <c:pt idx="53">
                  <c:v>1.2717740256609729</c:v>
                </c:pt>
                <c:pt idx="54">
                  <c:v>1.2644219707013489</c:v>
                </c:pt>
                <c:pt idx="55">
                  <c:v>1.262219641272311</c:v>
                </c:pt>
                <c:pt idx="56">
                  <c:v>1.2764745198154865</c:v>
                </c:pt>
                <c:pt idx="57">
                  <c:v>1.2767484413862624</c:v>
                </c:pt>
                <c:pt idx="58">
                  <c:v>1.3018396572693307</c:v>
                </c:pt>
                <c:pt idx="59">
                  <c:v>1.3069126847600996</c:v>
                </c:pt>
                <c:pt idx="60">
                  <c:v>1.2465622842867632</c:v>
                </c:pt>
                <c:pt idx="61">
                  <c:v>1.0720632868397122</c:v>
                </c:pt>
                <c:pt idx="62">
                  <c:v>1.2232351233194914</c:v>
                </c:pt>
                <c:pt idx="63">
                  <c:v>1.2651560805110282</c:v>
                </c:pt>
                <c:pt idx="64">
                  <c:v>1.2077530761392399</c:v>
                </c:pt>
                <c:pt idx="65">
                  <c:v>1.2465403705611011</c:v>
                </c:pt>
                <c:pt idx="66">
                  <c:v>1.2456090372204631</c:v>
                </c:pt>
                <c:pt idx="67">
                  <c:v>1.2582861275159698</c:v>
                </c:pt>
                <c:pt idx="68">
                  <c:v>1.2632824569669214</c:v>
                </c:pt>
                <c:pt idx="69">
                  <c:v>1.247208739193794</c:v>
                </c:pt>
                <c:pt idx="70">
                  <c:v>1.2457295627116045</c:v>
                </c:pt>
                <c:pt idx="71">
                  <c:v>1.2757951943199626</c:v>
                </c:pt>
                <c:pt idx="72">
                  <c:v>1.2528953510031009</c:v>
                </c:pt>
                <c:pt idx="73">
                  <c:v>1.2726615315502865</c:v>
                </c:pt>
                <c:pt idx="74">
                  <c:v>1.2018473270733125</c:v>
                </c:pt>
                <c:pt idx="75">
                  <c:v>1.2287464253235014</c:v>
                </c:pt>
                <c:pt idx="76">
                  <c:v>1.2705030295725728</c:v>
                </c:pt>
                <c:pt idx="77">
                  <c:v>1.2454008568266735</c:v>
                </c:pt>
                <c:pt idx="78">
                  <c:v>1.2507368490253872</c:v>
                </c:pt>
                <c:pt idx="79">
                  <c:v>1.2129794997096432</c:v>
                </c:pt>
                <c:pt idx="80">
                  <c:v>1.1530892874752103</c:v>
                </c:pt>
                <c:pt idx="81">
                  <c:v>1.2229831154743775</c:v>
                </c:pt>
                <c:pt idx="82">
                  <c:v>1.1574172482934686</c:v>
                </c:pt>
                <c:pt idx="83">
                  <c:v>1.165536283651265</c:v>
                </c:pt>
                <c:pt idx="84">
                  <c:v>1.1475889423340309</c:v>
                </c:pt>
                <c:pt idx="85">
                  <c:v>1.1359308402818107</c:v>
                </c:pt>
                <c:pt idx="86">
                  <c:v>1.1941336956402642</c:v>
                </c:pt>
                <c:pt idx="87">
                  <c:v>1.1789584406192819</c:v>
                </c:pt>
                <c:pt idx="88">
                  <c:v>1.1982753897903955</c:v>
                </c:pt>
                <c:pt idx="89">
                  <c:v>1.2050796016084675</c:v>
                </c:pt>
                <c:pt idx="90">
                  <c:v>1.229228527288067</c:v>
                </c:pt>
                <c:pt idx="91">
                  <c:v>1.2627017432368766</c:v>
                </c:pt>
                <c:pt idx="92">
                  <c:v>1.2742502766607866</c:v>
                </c:pt>
                <c:pt idx="93">
                  <c:v>1.2819967786823276</c:v>
                </c:pt>
                <c:pt idx="94">
                  <c:v>1.2872670297040552</c:v>
                </c:pt>
                <c:pt idx="95">
                  <c:v>1.2918469983674274</c:v>
                </c:pt>
                <c:pt idx="96">
                  <c:v>1.2941369826991136</c:v>
                </c:pt>
                <c:pt idx="97">
                  <c:v>1.2866753591111793</c:v>
                </c:pt>
                <c:pt idx="98">
                  <c:v>1.3190309750512232</c:v>
                </c:pt>
                <c:pt idx="99">
                  <c:v>1.343508606615754</c:v>
                </c:pt>
                <c:pt idx="100">
                  <c:v>1.3318943320148575</c:v>
                </c:pt>
                <c:pt idx="101">
                  <c:v>1.3370221438197816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B-4DD6-A9F6-E6989324FF06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KRX_TMI (Initial_NAV=1)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Sheet1!$A$2:$A$103</c:f>
              <c:numCache>
                <c:formatCode>yyyy\-mm\-dd</c:formatCode>
                <c:ptCount val="102"/>
                <c:pt idx="0">
                  <c:v>45989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46013</c:v>
                </c:pt>
                <c:pt idx="17">
                  <c:v>46014</c:v>
                </c:pt>
                <c:pt idx="18">
                  <c:v>46015</c:v>
                </c:pt>
                <c:pt idx="19">
                  <c:v>46017</c:v>
                </c:pt>
                <c:pt idx="20">
                  <c:v>46020</c:v>
                </c:pt>
                <c:pt idx="21">
                  <c:v>46021</c:v>
                </c:pt>
                <c:pt idx="22">
                  <c:v>46024</c:v>
                </c:pt>
                <c:pt idx="23">
                  <c:v>46027</c:v>
                </c:pt>
                <c:pt idx="24">
                  <c:v>46028</c:v>
                </c:pt>
                <c:pt idx="25">
                  <c:v>46029</c:v>
                </c:pt>
                <c:pt idx="26">
                  <c:v>46030</c:v>
                </c:pt>
                <c:pt idx="27">
                  <c:v>46031</c:v>
                </c:pt>
                <c:pt idx="28">
                  <c:v>46034</c:v>
                </c:pt>
                <c:pt idx="29">
                  <c:v>46035</c:v>
                </c:pt>
                <c:pt idx="30">
                  <c:v>46036</c:v>
                </c:pt>
                <c:pt idx="31">
                  <c:v>46037</c:v>
                </c:pt>
                <c:pt idx="32">
                  <c:v>46038</c:v>
                </c:pt>
                <c:pt idx="33">
                  <c:v>46041</c:v>
                </c:pt>
                <c:pt idx="34">
                  <c:v>46042</c:v>
                </c:pt>
                <c:pt idx="35">
                  <c:v>46043</c:v>
                </c:pt>
                <c:pt idx="36">
                  <c:v>46044</c:v>
                </c:pt>
                <c:pt idx="37">
                  <c:v>46045</c:v>
                </c:pt>
                <c:pt idx="38">
                  <c:v>46048</c:v>
                </c:pt>
                <c:pt idx="39">
                  <c:v>46049</c:v>
                </c:pt>
                <c:pt idx="40">
                  <c:v>46050</c:v>
                </c:pt>
                <c:pt idx="41">
                  <c:v>46051</c:v>
                </c:pt>
                <c:pt idx="42">
                  <c:v>46052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46062</c:v>
                </c:pt>
                <c:pt idx="49">
                  <c:v>46063</c:v>
                </c:pt>
                <c:pt idx="50">
                  <c:v>46064</c:v>
                </c:pt>
                <c:pt idx="51">
                  <c:v>46065</c:v>
                </c:pt>
                <c:pt idx="52">
                  <c:v>46066</c:v>
                </c:pt>
                <c:pt idx="53">
                  <c:v>46072</c:v>
                </c:pt>
                <c:pt idx="54">
                  <c:v>46073</c:v>
                </c:pt>
                <c:pt idx="55">
                  <c:v>46076</c:v>
                </c:pt>
                <c:pt idx="56">
                  <c:v>46077</c:v>
                </c:pt>
                <c:pt idx="57">
                  <c:v>46078</c:v>
                </c:pt>
                <c:pt idx="58">
                  <c:v>46079</c:v>
                </c:pt>
                <c:pt idx="59">
                  <c:v>46080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46090</c:v>
                </c:pt>
                <c:pt idx="65">
                  <c:v>46091</c:v>
                </c:pt>
                <c:pt idx="66">
                  <c:v>46092</c:v>
                </c:pt>
                <c:pt idx="67">
                  <c:v>46093</c:v>
                </c:pt>
                <c:pt idx="68">
                  <c:v>46094</c:v>
                </c:pt>
                <c:pt idx="69">
                  <c:v>46097</c:v>
                </c:pt>
                <c:pt idx="70">
                  <c:v>46098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46104</c:v>
                </c:pt>
                <c:pt idx="75">
                  <c:v>46105</c:v>
                </c:pt>
                <c:pt idx="76">
                  <c:v>46106</c:v>
                </c:pt>
                <c:pt idx="77">
                  <c:v>46107</c:v>
                </c:pt>
                <c:pt idx="78">
                  <c:v>46108</c:v>
                </c:pt>
                <c:pt idx="79">
                  <c:v>46111</c:v>
                </c:pt>
                <c:pt idx="80">
                  <c:v>46112</c:v>
                </c:pt>
                <c:pt idx="81">
                  <c:v>46113</c:v>
                </c:pt>
                <c:pt idx="82">
                  <c:v>46114</c:v>
                </c:pt>
                <c:pt idx="83">
                  <c:v>46115</c:v>
                </c:pt>
                <c:pt idx="84">
                  <c:v>46118</c:v>
                </c:pt>
                <c:pt idx="85">
                  <c:v>46119</c:v>
                </c:pt>
                <c:pt idx="86">
                  <c:v>46120</c:v>
                </c:pt>
                <c:pt idx="87">
                  <c:v>46121</c:v>
                </c:pt>
                <c:pt idx="88">
                  <c:v>46122</c:v>
                </c:pt>
                <c:pt idx="89">
                  <c:v>46125</c:v>
                </c:pt>
                <c:pt idx="90">
                  <c:v>46126</c:v>
                </c:pt>
                <c:pt idx="91">
                  <c:v>46127</c:v>
                </c:pt>
                <c:pt idx="92">
                  <c:v>46128</c:v>
                </c:pt>
                <c:pt idx="93">
                  <c:v>46129</c:v>
                </c:pt>
                <c:pt idx="94">
                  <c:v>46132</c:v>
                </c:pt>
                <c:pt idx="95">
                  <c:v>46133</c:v>
                </c:pt>
                <c:pt idx="96">
                  <c:v>46134</c:v>
                </c:pt>
                <c:pt idx="97">
                  <c:v>46135</c:v>
                </c:pt>
                <c:pt idx="98">
                  <c:v>46136</c:v>
                </c:pt>
                <c:pt idx="99">
                  <c:v>46139</c:v>
                </c:pt>
                <c:pt idx="100">
                  <c:v>46140</c:v>
                </c:pt>
                <c:pt idx="101">
                  <c:v>46141</c:v>
                </c:pt>
              </c:numCache>
            </c:numRef>
          </c:cat>
          <c:val>
            <c:numRef>
              <c:f>Sheet1!$J$2:$J$103</c:f>
              <c:numCache>
                <c:formatCode>General</c:formatCode>
                <c:ptCount val="102"/>
                <c:pt idx="0">
                  <c:v>1</c:v>
                </c:pt>
                <c:pt idx="1">
                  <c:v>1.0010953084288963</c:v>
                </c:pt>
                <c:pt idx="2">
                  <c:v>1.0199229964983321</c:v>
                </c:pt>
                <c:pt idx="3">
                  <c:v>1.0284738702557379</c:v>
                </c:pt>
                <c:pt idx="4">
                  <c:v>1.0262957000846373</c:v>
                </c:pt>
                <c:pt idx="5">
                  <c:v>1.0421652256169407</c:v>
                </c:pt>
                <c:pt idx="6">
                  <c:v>1.0551886087923394</c:v>
                </c:pt>
                <c:pt idx="7">
                  <c:v>1.0508447151368305</c:v>
                </c:pt>
                <c:pt idx="8">
                  <c:v>1.0510314154372107</c:v>
                </c:pt>
                <c:pt idx="9">
                  <c:v>1.0433144696881689</c:v>
                </c:pt>
                <c:pt idx="10">
                  <c:v>1.0555246693330236</c:v>
                </c:pt>
                <c:pt idx="11">
                  <c:v>1.0351701876960353</c:v>
                </c:pt>
                <c:pt idx="12">
                  <c:v>1.0118492457307864</c:v>
                </c:pt>
                <c:pt idx="13">
                  <c:v>1.0278100469654976</c:v>
                </c:pt>
                <c:pt idx="14">
                  <c:v>1.0155542094694392</c:v>
                </c:pt>
                <c:pt idx="15">
                  <c:v>1.0218148928755164</c:v>
                </c:pt>
                <c:pt idx="16">
                  <c:v>1.0452478550209934</c:v>
                </c:pt>
                <c:pt idx="17">
                  <c:v>1.0465796504970377</c:v>
                </c:pt>
                <c:pt idx="18">
                  <c:v>1.0451233881540734</c:v>
                </c:pt>
                <c:pt idx="19">
                  <c:v>1.0542800006638233</c:v>
                </c:pt>
                <c:pt idx="20">
                  <c:v>1.0797293260534044</c:v>
                </c:pt>
                <c:pt idx="21">
                  <c:v>1.0791775229433924</c:v>
                </c:pt>
                <c:pt idx="22">
                  <c:v>1.1092487179912707</c:v>
                </c:pt>
                <c:pt idx="23">
                  <c:v>1.1482317407106226</c:v>
                </c:pt>
                <c:pt idx="24">
                  <c:v>1.1642713709610499</c:v>
                </c:pt>
                <c:pt idx="25">
                  <c:v>1.1701130159151634</c:v>
                </c:pt>
                <c:pt idx="26">
                  <c:v>1.1685239889141508</c:v>
                </c:pt>
                <c:pt idx="27">
                  <c:v>1.1753530710124962</c:v>
                </c:pt>
                <c:pt idx="28">
                  <c:v>1.182800338549878</c:v>
                </c:pt>
                <c:pt idx="29">
                  <c:v>1.1946537331762284</c:v>
                </c:pt>
                <c:pt idx="30">
                  <c:v>1.2015035597523938</c:v>
                </c:pt>
                <c:pt idx="31">
                  <c:v>1.2189662611812735</c:v>
                </c:pt>
                <c:pt idx="32">
                  <c:v>1.2321556001792322</c:v>
                </c:pt>
                <c:pt idx="33">
                  <c:v>1.2481246992050714</c:v>
                </c:pt>
                <c:pt idx="34">
                  <c:v>1.2413454038534939</c:v>
                </c:pt>
                <c:pt idx="35">
                  <c:v>1.246282589574655</c:v>
                </c:pt>
                <c:pt idx="36">
                  <c:v>1.2608161707353502</c:v>
                </c:pt>
                <c:pt idx="37">
                  <c:v>1.2721716978940205</c:v>
                </c:pt>
                <c:pt idx="38">
                  <c:v>1.2716738304263404</c:v>
                </c:pt>
                <c:pt idx="39">
                  <c:v>1.3121670511309889</c:v>
                </c:pt>
                <c:pt idx="40">
                  <c:v>1.3405081567286787</c:v>
                </c:pt>
                <c:pt idx="41">
                  <c:v>1.355448329654646</c:v>
                </c:pt>
                <c:pt idx="42">
                  <c:v>1.35725724812055</c:v>
                </c:pt>
                <c:pt idx="43">
                  <c:v>1.284547853361435</c:v>
                </c:pt>
                <c:pt idx="44">
                  <c:v>1.3737491079874535</c:v>
                </c:pt>
                <c:pt idx="45">
                  <c:v>1.3910334069070813</c:v>
                </c:pt>
                <c:pt idx="46">
                  <c:v>1.3348117231193055</c:v>
                </c:pt>
                <c:pt idx="47">
                  <c:v>1.3168636009094379</c:v>
                </c:pt>
                <c:pt idx="48">
                  <c:v>1.3738777237499376</c:v>
                </c:pt>
                <c:pt idx="49">
                  <c:v>1.3721268898219292</c:v>
                </c:pt>
                <c:pt idx="50">
                  <c:v>1.3843827273179878</c:v>
                </c:pt>
                <c:pt idx="51">
                  <c:v>1.428091342084737</c:v>
                </c:pt>
                <c:pt idx="52">
                  <c:v>1.4228761803607879</c:v>
                </c:pt>
                <c:pt idx="53">
                  <c:v>1.4703312478218296</c:v>
                </c:pt>
                <c:pt idx="54">
                  <c:v>1.4989378827356157</c:v>
                </c:pt>
                <c:pt idx="55">
                  <c:v>1.5081235375143136</c:v>
                </c:pt>
                <c:pt idx="56">
                  <c:v>1.5422067145725806</c:v>
                </c:pt>
                <c:pt idx="57">
                  <c:v>1.5675274241996779</c:v>
                </c:pt>
                <c:pt idx="58">
                  <c:v>1.630706805848283</c:v>
                </c:pt>
                <c:pt idx="59">
                  <c:v>1.6149575982873359</c:v>
                </c:pt>
                <c:pt idx="60">
                  <c:v>1.4944446288398028</c:v>
                </c:pt>
                <c:pt idx="61">
                  <c:v>1.313059063677249</c:v>
                </c:pt>
                <c:pt idx="62">
                  <c:v>1.447757107058101</c:v>
                </c:pt>
                <c:pt idx="63">
                  <c:v>1.4502256999186816</c:v>
                </c:pt>
                <c:pt idx="64">
                  <c:v>1.361132316577327</c:v>
                </c:pt>
                <c:pt idx="65">
                  <c:v>1.438596345652787</c:v>
                </c:pt>
                <c:pt idx="66">
                  <c:v>1.4552915014023264</c:v>
                </c:pt>
                <c:pt idx="67">
                  <c:v>1.447607746817797</c:v>
                </c:pt>
                <c:pt idx="68">
                  <c:v>1.4265355062482366</c:v>
                </c:pt>
                <c:pt idx="69">
                  <c:v>1.4449441558657083</c:v>
                </c:pt>
                <c:pt idx="70">
                  <c:v>1.466203096735649</c:v>
                </c:pt>
                <c:pt idx="71">
                  <c:v>1.5423436281261926</c:v>
                </c:pt>
                <c:pt idx="72">
                  <c:v>1.5001203179713558</c:v>
                </c:pt>
                <c:pt idx="73">
                  <c:v>1.5042982558043048</c:v>
                </c:pt>
                <c:pt idx="74">
                  <c:v>1.4071892062333005</c:v>
                </c:pt>
                <c:pt idx="75">
                  <c:v>1.4452719186152645</c:v>
                </c:pt>
                <c:pt idx="76">
                  <c:v>1.4684061602801333</c:v>
                </c:pt>
                <c:pt idx="77">
                  <c:v>1.4197064241498911</c:v>
                </c:pt>
                <c:pt idx="78">
                  <c:v>1.4149849809980584</c:v>
                </c:pt>
                <c:pt idx="79">
                  <c:v>1.3716829579965812</c:v>
                </c:pt>
                <c:pt idx="80">
                  <c:v>1.3092752709228801</c:v>
                </c:pt>
                <c:pt idx="81">
                  <c:v>1.42407106228322</c:v>
                </c:pt>
                <c:pt idx="82">
                  <c:v>1.3552242892941897</c:v>
                </c:pt>
                <c:pt idx="83">
                  <c:v>1.3928298786862936</c:v>
                </c:pt>
                <c:pt idx="84">
                  <c:v>1.4104626848332973</c:v>
                </c:pt>
                <c:pt idx="85">
                  <c:v>1.4223990573709278</c:v>
                </c:pt>
                <c:pt idx="86">
                  <c:v>1.5238602983885687</c:v>
                </c:pt>
                <c:pt idx="87">
                  <c:v>1.496261845096835</c:v>
                </c:pt>
                <c:pt idx="88">
                  <c:v>1.5191139618633518</c:v>
                </c:pt>
                <c:pt idx="89">
                  <c:v>1.5080488573941617</c:v>
                </c:pt>
                <c:pt idx="90">
                  <c:v>1.5508405662412665</c:v>
                </c:pt>
                <c:pt idx="91">
                  <c:v>1.5851975704067576</c:v>
                </c:pt>
                <c:pt idx="92">
                  <c:v>1.6188575601174966</c:v>
                </c:pt>
                <c:pt idx="93">
                  <c:v>1.6105888112584428</c:v>
                </c:pt>
                <c:pt idx="94">
                  <c:v>1.6181688434538724</c:v>
                </c:pt>
                <c:pt idx="95">
                  <c:v>1.6589068489967969</c:v>
                </c:pt>
                <c:pt idx="96">
                  <c:v>1.6634623363260699</c:v>
                </c:pt>
                <c:pt idx="97">
                  <c:v>1.679211543887017</c:v>
                </c:pt>
                <c:pt idx="98">
                  <c:v>1.6795351577410091</c:v>
                </c:pt>
                <c:pt idx="99">
                  <c:v>1.7185970094760774</c:v>
                </c:pt>
                <c:pt idx="100">
                  <c:v>1.7225467580530061</c:v>
                </c:pt>
                <c:pt idx="101">
                  <c:v>1.7350058914317008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8B-4DD6-A9F6-E6989324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417248"/>
        <c:axId val="1631417728"/>
      </c:lineChart>
      <c:dateAx>
        <c:axId val="1631417248"/>
        <c:scaling>
          <c:orientation val="minMax"/>
        </c:scaling>
        <c:delete val="0"/>
        <c:axPos val="b"/>
        <c:numFmt formatCode="yy/mm/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1417728"/>
        <c:crosses val="autoZero"/>
        <c:auto val="1"/>
        <c:lblOffset val="100"/>
        <c:baseTimeUnit val="days"/>
        <c:majorUnit val="10"/>
        <c:majorTimeUnit val="days"/>
      </c:dateAx>
      <c:valAx>
        <c:axId val="1631417728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141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659802</xdr:colOff>
      <xdr:row>0</xdr:row>
      <xdr:rowOff>210670</xdr:rowOff>
    </xdr:from>
    <xdr:to>
      <xdr:col>20</xdr:col>
      <xdr:colOff>141514</xdr:colOff>
      <xdr:row>13</xdr:row>
      <xdr:rowOff>170329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A6715C4-BCAF-4417-9CF7-93643A986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667293</xdr:colOff>
      <xdr:row>14</xdr:row>
      <xdr:rowOff>8964</xdr:rowOff>
    </xdr:from>
    <xdr:to>
      <xdr:col>20</xdr:col>
      <xdr:colOff>149750</xdr:colOff>
      <xdr:row>31</xdr:row>
      <xdr:rowOff>8964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E305EC3-3977-4C0E-83F9-0BA0833CF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"/>
  <sheetViews>
    <sheetView showGridLines="0" tabSelected="1" topLeftCell="O1" zoomScale="70" zoomScaleNormal="70" workbookViewId="0">
      <pane ySplit="1" topLeftCell="A2" activePane="bottomLeft" state="frozen"/>
      <selection pane="bottomLeft" activeCell="U10" sqref="U10"/>
    </sheetView>
  </sheetViews>
  <sheetFormatPr defaultRowHeight="17.399999999999999" x14ac:dyDescent="0.4"/>
  <cols>
    <col min="1" max="1" width="10.8984375" bestFit="1" customWidth="1"/>
    <col min="2" max="2" width="9.69921875" bestFit="1" customWidth="1"/>
    <col min="5" max="5" width="13" style="17" bestFit="1" customWidth="1"/>
    <col min="6" max="6" width="13" bestFit="1" customWidth="1"/>
    <col min="7" max="7" width="19.09765625" bestFit="1" customWidth="1"/>
    <col min="8" max="8" width="21.8984375" bestFit="1" customWidth="1"/>
    <col min="9" max="9" width="22.3984375" bestFit="1" customWidth="1"/>
    <col min="10" max="10" width="22.296875" style="9" bestFit="1" customWidth="1"/>
    <col min="22" max="22" width="21.19921875" style="12" bestFit="1" customWidth="1"/>
    <col min="23" max="24" width="23.8984375" bestFit="1" customWidth="1"/>
    <col min="25" max="25" width="23.8984375" style="9" bestFit="1" customWidth="1"/>
    <col min="26" max="26" width="20.5" bestFit="1" customWidth="1"/>
    <col min="27" max="27" width="22.296875" bestFit="1" customWidth="1"/>
    <col min="28" max="28" width="23.09765625" bestFit="1" customWidth="1"/>
    <col min="29" max="29" width="22.69921875" bestFit="1" customWidth="1"/>
  </cols>
  <sheetData>
    <row r="1" spans="1:29" x14ac:dyDescent="0.4">
      <c r="A1" t="s">
        <v>0</v>
      </c>
      <c r="B1" t="s">
        <v>1</v>
      </c>
      <c r="C1" t="s">
        <v>5</v>
      </c>
      <c r="D1" t="s">
        <v>6</v>
      </c>
      <c r="E1" s="17" t="s">
        <v>2</v>
      </c>
      <c r="F1" t="s">
        <v>2</v>
      </c>
      <c r="G1" t="s">
        <v>3</v>
      </c>
      <c r="H1" t="s">
        <v>4</v>
      </c>
      <c r="I1" t="s">
        <v>7</v>
      </c>
      <c r="J1" s="9" t="s">
        <v>8</v>
      </c>
      <c r="V1" s="12" t="s">
        <v>9</v>
      </c>
      <c r="W1" t="s">
        <v>10</v>
      </c>
      <c r="X1" t="s">
        <v>11</v>
      </c>
      <c r="Y1" s="9" t="s">
        <v>12</v>
      </c>
      <c r="Z1" t="s">
        <v>13</v>
      </c>
      <c r="AA1" t="s">
        <v>14</v>
      </c>
      <c r="AB1" t="s">
        <v>15</v>
      </c>
      <c r="AC1" t="s">
        <v>16</v>
      </c>
    </row>
    <row r="2" spans="1:29" s="6" customFormat="1" x14ac:dyDescent="0.4">
      <c r="A2" s="2">
        <v>45989</v>
      </c>
      <c r="B2" s="3">
        <v>3926.59</v>
      </c>
      <c r="C2" s="3">
        <v>912.67</v>
      </c>
      <c r="D2" s="3">
        <v>2410.2800000000002</v>
      </c>
      <c r="E2" s="18">
        <v>1500000</v>
      </c>
      <c r="F2" s="6">
        <v>1500000</v>
      </c>
      <c r="G2" s="6">
        <v>1</v>
      </c>
      <c r="H2" s="6">
        <v>1</v>
      </c>
      <c r="I2" s="6">
        <f>C2/C$2</f>
        <v>1</v>
      </c>
      <c r="J2" s="10">
        <f>D2/D$2</f>
        <v>1</v>
      </c>
      <c r="V2" s="13">
        <f>(G3-G2)/G2</f>
        <v>-1.5840716754232931E-3</v>
      </c>
      <c r="W2" s="6">
        <f t="shared" ref="W2:Y17" si="0">(H3-H2)/H2</f>
        <v>1.7560000000000908E-3</v>
      </c>
      <c r="X2" s="6">
        <f t="shared" si="0"/>
        <v>1.0639113808934342E-2</v>
      </c>
      <c r="Y2" s="10">
        <f t="shared" si="0"/>
        <v>1.0953084288962689E-3</v>
      </c>
      <c r="Z2" s="7">
        <f>AVERAGE(V2:V102)</f>
        <v>5.7282869512923877E-3</v>
      </c>
      <c r="AA2" s="7">
        <f t="shared" ref="AA2:AC2" si="1">AVERAGE(W2:W102)</f>
        <v>1.6084082121162763E-3</v>
      </c>
      <c r="AB2" s="7">
        <f t="shared" si="1"/>
        <v>3.3336741595417366E-3</v>
      </c>
      <c r="AC2" s="7">
        <f t="shared" si="1"/>
        <v>5.9328443292145762E-3</v>
      </c>
    </row>
    <row r="3" spans="1:29" x14ac:dyDescent="0.4">
      <c r="A3" s="2">
        <v>45992</v>
      </c>
      <c r="B3" s="3">
        <v>3920.37</v>
      </c>
      <c r="C3" s="3">
        <v>922.38</v>
      </c>
      <c r="D3" s="3">
        <v>2412.92</v>
      </c>
      <c r="E3" s="17">
        <v>1602634</v>
      </c>
      <c r="F3">
        <f>E3-100000</f>
        <v>1502634</v>
      </c>
      <c r="G3">
        <f t="shared" ref="G3:G34" si="2">B3/B$2</f>
        <v>0.99841592832457671</v>
      </c>
      <c r="H3">
        <f t="shared" ref="H3:H34" si="3">F3/F$2</f>
        <v>1.0017560000000001</v>
      </c>
      <c r="I3" s="6">
        <f t="shared" ref="I3:I66" si="4">C3/C$2</f>
        <v>1.0106391138089343</v>
      </c>
      <c r="J3" s="10">
        <f t="shared" ref="J3:J66" si="5">D3/D$2</f>
        <v>1.0010953084288963</v>
      </c>
      <c r="V3" s="13">
        <f t="shared" ref="V3:V66" si="6">(G4-G3)/G3</f>
        <v>1.9018613039075351E-2</v>
      </c>
      <c r="W3" s="6">
        <f t="shared" si="0"/>
        <v>4.5014288243177521E-3</v>
      </c>
      <c r="X3" s="6">
        <f t="shared" si="0"/>
        <v>6.5482772826817165E-3</v>
      </c>
      <c r="Y3" s="10">
        <f t="shared" si="0"/>
        <v>1.8807088506871225E-2</v>
      </c>
    </row>
    <row r="4" spans="1:29" x14ac:dyDescent="0.4">
      <c r="A4" s="2">
        <v>45993</v>
      </c>
      <c r="B4" s="3">
        <v>3994.93</v>
      </c>
      <c r="C4" s="3">
        <v>928.42</v>
      </c>
      <c r="D4" s="3">
        <v>2458.3000000000002</v>
      </c>
      <c r="E4" s="17">
        <v>1609398</v>
      </c>
      <c r="F4">
        <f t="shared" ref="F4:F23" si="7">E4-100000</f>
        <v>1509398</v>
      </c>
      <c r="G4">
        <f t="shared" si="2"/>
        <v>1.017404414517431</v>
      </c>
      <c r="H4">
        <f t="shared" si="3"/>
        <v>1.0062653333333333</v>
      </c>
      <c r="I4" s="6">
        <f t="shared" si="4"/>
        <v>1.017257058958879</v>
      </c>
      <c r="J4" s="10">
        <f t="shared" si="5"/>
        <v>1.0199229964983321</v>
      </c>
      <c r="V4" s="13">
        <f t="shared" si="6"/>
        <v>1.0355625755645378E-2</v>
      </c>
      <c r="W4" s="6">
        <f t="shared" si="0"/>
        <v>4.2825020306108226E-3</v>
      </c>
      <c r="X4" s="6">
        <f t="shared" si="0"/>
        <v>3.8667844294607324E-3</v>
      </c>
      <c r="Y4" s="10">
        <f t="shared" si="0"/>
        <v>8.3838424927796043E-3</v>
      </c>
      <c r="Z4" t="s">
        <v>17</v>
      </c>
      <c r="AA4" t="s">
        <v>18</v>
      </c>
      <c r="AB4" t="s">
        <v>19</v>
      </c>
      <c r="AC4" t="s">
        <v>20</v>
      </c>
    </row>
    <row r="5" spans="1:29" x14ac:dyDescent="0.4">
      <c r="A5" s="2">
        <v>45994</v>
      </c>
      <c r="B5" s="3">
        <v>4036.3</v>
      </c>
      <c r="C5" s="3">
        <v>932.01</v>
      </c>
      <c r="D5" s="3">
        <v>2478.91</v>
      </c>
      <c r="E5" s="17">
        <v>1615862</v>
      </c>
      <c r="F5">
        <f t="shared" si="7"/>
        <v>1515862</v>
      </c>
      <c r="G5">
        <f t="shared" si="2"/>
        <v>1.027940273876315</v>
      </c>
      <c r="H5">
        <f t="shared" si="3"/>
        <v>1.0105746666666666</v>
      </c>
      <c r="I5" s="6">
        <f t="shared" si="4"/>
        <v>1.0211905727152202</v>
      </c>
      <c r="J5" s="10">
        <f t="shared" si="5"/>
        <v>1.0284738702557379</v>
      </c>
      <c r="V5" s="13">
        <f t="shared" si="6"/>
        <v>-1.9299853826523277E-3</v>
      </c>
      <c r="W5" s="6">
        <f t="shared" si="0"/>
        <v>-5.8052777891375994E-4</v>
      </c>
      <c r="X5" s="6">
        <f t="shared" si="0"/>
        <v>-2.3390306970955282E-3</v>
      </c>
      <c r="Y5" s="10">
        <f t="shared" si="0"/>
        <v>-2.1178663202779655E-3</v>
      </c>
      <c r="Z5" s="7">
        <f>_xlfn.STDEV.P(V2:V102)</f>
        <v>2.9425594323603949E-2</v>
      </c>
      <c r="AA5" s="7">
        <f t="shared" ref="AA5:AC5" si="8">_xlfn.STDEV.P(W2:W102)</f>
        <v>1.1392276167129666E-2</v>
      </c>
      <c r="AB5" s="7">
        <f t="shared" si="8"/>
        <v>3.0067956968624746E-2</v>
      </c>
      <c r="AC5" s="7">
        <f t="shared" si="8"/>
        <v>3.0282014431013003E-2</v>
      </c>
    </row>
    <row r="6" spans="1:29" x14ac:dyDescent="0.4">
      <c r="A6" s="2">
        <v>45995</v>
      </c>
      <c r="B6" s="3">
        <v>4028.51</v>
      </c>
      <c r="C6" s="3">
        <v>929.83</v>
      </c>
      <c r="D6" s="3">
        <v>2473.66</v>
      </c>
      <c r="E6" s="17">
        <v>1614982</v>
      </c>
      <c r="F6">
        <f t="shared" si="7"/>
        <v>1514982</v>
      </c>
      <c r="G6">
        <f t="shared" si="2"/>
        <v>1.0259563641734941</v>
      </c>
      <c r="H6">
        <f t="shared" si="3"/>
        <v>1.0099880000000001</v>
      </c>
      <c r="I6" s="6">
        <f t="shared" si="4"/>
        <v>1.0188019766180547</v>
      </c>
      <c r="J6" s="10">
        <f t="shared" si="5"/>
        <v>1.0262957000846373</v>
      </c>
      <c r="V6" s="13">
        <f t="shared" si="6"/>
        <v>1.7758426812890964E-2</v>
      </c>
      <c r="W6" s="6">
        <f t="shared" si="0"/>
        <v>5.5373595197829861E-3</v>
      </c>
      <c r="X6" s="6">
        <f t="shared" si="0"/>
        <v>-5.4741189249646414E-3</v>
      </c>
      <c r="Y6" s="10">
        <f t="shared" si="0"/>
        <v>1.5462917296637435E-2</v>
      </c>
    </row>
    <row r="7" spans="1:29" x14ac:dyDescent="0.4">
      <c r="A7" s="2">
        <v>45996</v>
      </c>
      <c r="B7" s="3">
        <v>4100.05</v>
      </c>
      <c r="C7" s="3">
        <v>924.74</v>
      </c>
      <c r="D7" s="3">
        <v>2511.91</v>
      </c>
      <c r="E7" s="17">
        <v>1623371</v>
      </c>
      <c r="F7">
        <f t="shared" si="7"/>
        <v>1523371</v>
      </c>
      <c r="G7">
        <f t="shared" si="2"/>
        <v>1.0441757351798888</v>
      </c>
      <c r="H7">
        <f t="shared" si="3"/>
        <v>1.0155806666666667</v>
      </c>
      <c r="I7" s="6">
        <f t="shared" si="4"/>
        <v>1.0132249334370584</v>
      </c>
      <c r="J7" s="10">
        <f t="shared" si="5"/>
        <v>1.0421652256169407</v>
      </c>
      <c r="V7" s="13">
        <f t="shared" si="6"/>
        <v>1.3365690662309106E-2</v>
      </c>
      <c r="W7" s="6">
        <f t="shared" si="0"/>
        <v>2.0677825690528783E-4</v>
      </c>
      <c r="X7" s="6">
        <f t="shared" si="0"/>
        <v>3.2982243657675475E-3</v>
      </c>
      <c r="Y7" s="10">
        <f t="shared" si="0"/>
        <v>1.2496466832012334E-2</v>
      </c>
      <c r="Z7" t="s">
        <v>21</v>
      </c>
      <c r="AA7" t="s">
        <v>22</v>
      </c>
      <c r="AB7" t="s">
        <v>23</v>
      </c>
      <c r="AC7" t="s">
        <v>24</v>
      </c>
    </row>
    <row r="8" spans="1:29" x14ac:dyDescent="0.4">
      <c r="A8" s="2">
        <v>45999</v>
      </c>
      <c r="B8" s="3">
        <v>4154.8500000000004</v>
      </c>
      <c r="C8" s="3">
        <v>927.79</v>
      </c>
      <c r="D8" s="3">
        <v>2543.3000000000002</v>
      </c>
      <c r="E8" s="17">
        <v>1623686</v>
      </c>
      <c r="F8">
        <f t="shared" si="7"/>
        <v>1523686</v>
      </c>
      <c r="G8">
        <f t="shared" si="2"/>
        <v>1.0581318650533924</v>
      </c>
      <c r="H8">
        <f t="shared" si="3"/>
        <v>1.0157906666666667</v>
      </c>
      <c r="I8" s="6">
        <f t="shared" si="4"/>
        <v>1.0165667766005237</v>
      </c>
      <c r="J8" s="10">
        <f t="shared" si="5"/>
        <v>1.0551886087923394</v>
      </c>
      <c r="V8" s="13">
        <f t="shared" si="6"/>
        <v>-2.7197131063696569E-3</v>
      </c>
      <c r="W8" s="6">
        <f t="shared" si="0"/>
        <v>-2.714470041727922E-3</v>
      </c>
      <c r="X8" s="6">
        <f t="shared" si="0"/>
        <v>3.8370752002070871E-3</v>
      </c>
      <c r="Y8" s="10">
        <f t="shared" si="0"/>
        <v>-4.1166987771792639E-3</v>
      </c>
      <c r="Z8" s="6">
        <f>Z2/Z5*SQRT(252)</f>
        <v>3.090293955295679</v>
      </c>
      <c r="AA8" s="6">
        <f t="shared" ref="AA8:AC8" si="9">AA2/AA5*SQRT(252)</f>
        <v>2.241228042669126</v>
      </c>
      <c r="AB8" s="6">
        <f t="shared" si="9"/>
        <v>1.7600276841169986</v>
      </c>
      <c r="AC8" s="6">
        <f t="shared" si="9"/>
        <v>3.1101294198484717</v>
      </c>
    </row>
    <row r="9" spans="1:29" x14ac:dyDescent="0.4">
      <c r="A9" s="2">
        <v>46000</v>
      </c>
      <c r="B9" s="3">
        <v>4143.55</v>
      </c>
      <c r="C9" s="3">
        <v>931.35</v>
      </c>
      <c r="D9" s="3">
        <v>2532.83</v>
      </c>
      <c r="E9" s="17">
        <v>1619550</v>
      </c>
      <c r="F9">
        <f t="shared" si="7"/>
        <v>1519550</v>
      </c>
      <c r="G9">
        <f t="shared" si="2"/>
        <v>1.0552540499517393</v>
      </c>
      <c r="H9">
        <f t="shared" si="3"/>
        <v>1.0130333333333332</v>
      </c>
      <c r="I9" s="6">
        <f t="shared" si="4"/>
        <v>1.0204674197683721</v>
      </c>
      <c r="J9" s="10">
        <f t="shared" si="5"/>
        <v>1.0508447151368305</v>
      </c>
      <c r="V9" s="13">
        <f t="shared" si="6"/>
        <v>-2.0634480095571808E-3</v>
      </c>
      <c r="W9" s="6">
        <f t="shared" si="0"/>
        <v>3.5964594781350825E-3</v>
      </c>
      <c r="X9" s="6">
        <f t="shared" si="0"/>
        <v>3.9190422504965247E-3</v>
      </c>
      <c r="Y9" s="10">
        <f t="shared" si="0"/>
        <v>1.776668785509751E-4</v>
      </c>
      <c r="Z9" t="s">
        <v>25</v>
      </c>
      <c r="AA9" t="s">
        <v>32</v>
      </c>
      <c r="AB9" t="s">
        <v>33</v>
      </c>
      <c r="AC9" t="s">
        <v>34</v>
      </c>
    </row>
    <row r="10" spans="1:29" x14ac:dyDescent="0.4">
      <c r="A10" s="2">
        <v>46001</v>
      </c>
      <c r="B10" s="3">
        <v>4135</v>
      </c>
      <c r="C10" s="3">
        <v>935</v>
      </c>
      <c r="D10" s="3">
        <v>2533.2800000000002</v>
      </c>
      <c r="E10" s="17">
        <v>1625015</v>
      </c>
      <c r="F10">
        <f t="shared" si="7"/>
        <v>1525015</v>
      </c>
      <c r="G10">
        <f t="shared" si="2"/>
        <v>1.0530765880827893</v>
      </c>
      <c r="H10">
        <f t="shared" si="3"/>
        <v>1.0166766666666667</v>
      </c>
      <c r="I10" s="6">
        <f t="shared" si="4"/>
        <v>1.0244666747016995</v>
      </c>
      <c r="J10" s="10">
        <f t="shared" si="5"/>
        <v>1.0510314154372107</v>
      </c>
      <c r="V10" s="13">
        <f t="shared" si="6"/>
        <v>-5.8960096735186885E-3</v>
      </c>
      <c r="W10" s="6">
        <f t="shared" si="0"/>
        <v>1.8635882270009805E-3</v>
      </c>
      <c r="X10" s="6">
        <f t="shared" si="0"/>
        <v>-3.8502673796795076E-4</v>
      </c>
      <c r="Y10" s="10">
        <f t="shared" si="0"/>
        <v>-7.3422598370493893E-3</v>
      </c>
      <c r="Z10" s="14">
        <f>(G103/G2)^(365/(A103-A2))-1</f>
        <v>2.5960864479417132</v>
      </c>
      <c r="AA10" s="14">
        <f>(H103/H2)^(365/(A103-A2))-1</f>
        <v>0.45329210081925031</v>
      </c>
      <c r="AB10" s="14">
        <f>(I103/I2)^(365/(A103-A2))-1</f>
        <v>1.0086238362688156</v>
      </c>
      <c r="AC10" s="14">
        <f>(J102/J2)^(365/(J102-A2))-1</f>
        <v>-4.3068580044813842E-3</v>
      </c>
    </row>
    <row r="11" spans="1:29" x14ac:dyDescent="0.4">
      <c r="A11" s="2">
        <v>46002</v>
      </c>
      <c r="B11" s="3">
        <v>4110.62</v>
      </c>
      <c r="C11" s="3">
        <v>934.64</v>
      </c>
      <c r="D11" s="3">
        <v>2514.6799999999998</v>
      </c>
      <c r="E11" s="17">
        <v>1627857</v>
      </c>
      <c r="F11">
        <f t="shared" si="7"/>
        <v>1527857</v>
      </c>
      <c r="G11">
        <f t="shared" si="2"/>
        <v>1.0468676383324971</v>
      </c>
      <c r="H11">
        <f t="shared" si="3"/>
        <v>1.0185713333333333</v>
      </c>
      <c r="I11" s="6">
        <f t="shared" si="4"/>
        <v>1.0240722276397822</v>
      </c>
      <c r="J11" s="10">
        <f t="shared" si="5"/>
        <v>1.0433144696881689</v>
      </c>
      <c r="V11" s="13">
        <f t="shared" si="6"/>
        <v>1.3754616091976304E-2</v>
      </c>
      <c r="W11" s="6">
        <f t="shared" si="0"/>
        <v>3.7110802908912124E-3</v>
      </c>
      <c r="X11" s="6">
        <f t="shared" si="0"/>
        <v>2.8888128049302962E-3</v>
      </c>
      <c r="Y11" s="10">
        <f t="shared" si="0"/>
        <v>1.1703278349531708E-2</v>
      </c>
      <c r="Z11" t="s">
        <v>30</v>
      </c>
      <c r="AA11" t="s">
        <v>31</v>
      </c>
      <c r="AB11" t="s">
        <v>35</v>
      </c>
      <c r="AC11" t="s">
        <v>36</v>
      </c>
    </row>
    <row r="12" spans="1:29" x14ac:dyDescent="0.4">
      <c r="A12" s="2">
        <v>46003</v>
      </c>
      <c r="B12" s="3">
        <v>4167.16</v>
      </c>
      <c r="C12" s="3">
        <v>937.34</v>
      </c>
      <c r="D12" s="3">
        <v>2544.11</v>
      </c>
      <c r="E12" s="17">
        <v>1633527</v>
      </c>
      <c r="F12">
        <f t="shared" si="7"/>
        <v>1533527</v>
      </c>
      <c r="G12">
        <f t="shared" si="2"/>
        <v>1.0612669007968745</v>
      </c>
      <c r="H12">
        <f t="shared" si="3"/>
        <v>1.0223513333333334</v>
      </c>
      <c r="I12" s="6">
        <f t="shared" si="4"/>
        <v>1.0270305806041615</v>
      </c>
      <c r="J12" s="10">
        <f t="shared" si="5"/>
        <v>1.0555246693330236</v>
      </c>
      <c r="V12" s="13">
        <f t="shared" si="6"/>
        <v>-1.8374624444465602E-2</v>
      </c>
      <c r="W12" s="6">
        <f t="shared" si="0"/>
        <v>5.834263107203151E-3</v>
      </c>
      <c r="X12" s="6">
        <f t="shared" si="0"/>
        <v>1.5896046258560797E-3</v>
      </c>
      <c r="Y12" s="10">
        <f t="shared" si="0"/>
        <v>-1.9283757384704316E-2</v>
      </c>
      <c r="Z12" s="14">
        <f>_xlfn.STDEV.S(V2:V95)*SQRT(252)</f>
        <v>0.48462926817642599</v>
      </c>
      <c r="AA12" s="14">
        <f>_xlfn.STDEV.S(W2:W95)*SQRT(252)</f>
        <v>0.18655156264766404</v>
      </c>
      <c r="AB12" s="14">
        <f>_xlfn.STDEV.S(X2:X95)*SQRT(252)</f>
        <v>0.4948558855433437</v>
      </c>
      <c r="AC12" s="14">
        <f>_xlfn.STDEV.S(Y2:Y95)*SQRT(252)</f>
        <v>0.49892952346866992</v>
      </c>
    </row>
    <row r="13" spans="1:29" x14ac:dyDescent="0.4">
      <c r="A13" s="2">
        <v>46006</v>
      </c>
      <c r="B13" s="3">
        <v>4090.59</v>
      </c>
      <c r="C13" s="3">
        <v>938.83</v>
      </c>
      <c r="D13" s="3">
        <v>2495.0500000000002</v>
      </c>
      <c r="E13" s="17">
        <v>1642474</v>
      </c>
      <c r="F13">
        <f t="shared" si="7"/>
        <v>1542474</v>
      </c>
      <c r="G13">
        <f t="shared" si="2"/>
        <v>1.04176652005939</v>
      </c>
      <c r="H13">
        <f t="shared" si="3"/>
        <v>1.028316</v>
      </c>
      <c r="I13" s="6">
        <f t="shared" si="4"/>
        <v>1.0286631531659856</v>
      </c>
      <c r="J13" s="10">
        <f t="shared" si="5"/>
        <v>1.0351701876960353</v>
      </c>
      <c r="V13" s="13">
        <f t="shared" si="6"/>
        <v>-2.2358632862252158E-2</v>
      </c>
      <c r="W13" s="6">
        <f t="shared" si="0"/>
        <v>-1.0804720209222372E-2</v>
      </c>
      <c r="X13" s="6">
        <f t="shared" si="0"/>
        <v>-2.4200334458847624E-2</v>
      </c>
      <c r="Y13" s="10">
        <f t="shared" si="0"/>
        <v>-2.2528606641149543E-2</v>
      </c>
      <c r="Z13" t="s">
        <v>26</v>
      </c>
      <c r="AA13" t="s">
        <v>27</v>
      </c>
      <c r="AB13" t="s">
        <v>37</v>
      </c>
      <c r="AC13" t="s">
        <v>36</v>
      </c>
    </row>
    <row r="14" spans="1:29" x14ac:dyDescent="0.4">
      <c r="A14" s="2">
        <v>46007</v>
      </c>
      <c r="B14" s="3">
        <v>3999.13</v>
      </c>
      <c r="C14" s="3">
        <v>916.11</v>
      </c>
      <c r="D14" s="3">
        <v>2438.84</v>
      </c>
      <c r="E14" s="17">
        <v>1625808</v>
      </c>
      <c r="F14">
        <f t="shared" si="7"/>
        <v>1525808</v>
      </c>
      <c r="G14">
        <f t="shared" si="2"/>
        <v>1.018474044909196</v>
      </c>
      <c r="H14">
        <f t="shared" si="3"/>
        <v>1.0172053333333333</v>
      </c>
      <c r="I14" s="6">
        <f t="shared" si="4"/>
        <v>1.0037691608138759</v>
      </c>
      <c r="J14" s="10">
        <f t="shared" si="5"/>
        <v>1.0118492457307864</v>
      </c>
      <c r="V14" s="13">
        <f t="shared" si="6"/>
        <v>1.4323115277572856E-2</v>
      </c>
      <c r="W14" s="6">
        <f t="shared" si="0"/>
        <v>1.808877656952969E-3</v>
      </c>
      <c r="X14" s="6">
        <f t="shared" si="0"/>
        <v>-5.5015227429021296E-3</v>
      </c>
      <c r="Y14" s="10">
        <f t="shared" si="0"/>
        <v>1.5773892506273375E-2</v>
      </c>
      <c r="Z14">
        <f>AVERAGE(V2:V102)/_xlfn.STDEV.S(V2:V102)*SQRT(252)</f>
        <v>3.074957414200326</v>
      </c>
      <c r="AA14">
        <f t="shared" ref="AA14:AC14" si="10">AVERAGE(W2:W102)/_xlfn.STDEV.S(W2:W102)*SQRT(252)</f>
        <v>2.2301052541973205</v>
      </c>
      <c r="AB14">
        <f t="shared" si="10"/>
        <v>1.7512930014955728</v>
      </c>
      <c r="AC14">
        <f t="shared" si="10"/>
        <v>3.0946944391154472</v>
      </c>
    </row>
    <row r="15" spans="1:29" x14ac:dyDescent="0.4">
      <c r="A15" s="2">
        <v>46008</v>
      </c>
      <c r="B15" s="3">
        <v>4056.41</v>
      </c>
      <c r="C15" s="3">
        <v>911.07</v>
      </c>
      <c r="D15" s="3">
        <v>2477.31</v>
      </c>
      <c r="E15" s="17">
        <v>1628568</v>
      </c>
      <c r="F15">
        <f t="shared" si="7"/>
        <v>1528568</v>
      </c>
      <c r="G15">
        <f t="shared" si="2"/>
        <v>1.0330617660616463</v>
      </c>
      <c r="H15">
        <f t="shared" si="3"/>
        <v>1.0190453333333334</v>
      </c>
      <c r="I15" s="6">
        <f t="shared" si="4"/>
        <v>0.99824690194703458</v>
      </c>
      <c r="J15" s="10">
        <f t="shared" si="5"/>
        <v>1.0278100469654976</v>
      </c>
      <c r="V15" s="13">
        <f t="shared" si="6"/>
        <v>-1.5259798688988514E-2</v>
      </c>
      <c r="W15" s="6">
        <f t="shared" si="0"/>
        <v>-2.9701001198518905E-4</v>
      </c>
      <c r="X15" s="6">
        <f t="shared" si="0"/>
        <v>-1.069072628886914E-2</v>
      </c>
      <c r="Y15" s="10">
        <f t="shared" si="0"/>
        <v>-1.1924224259377982E-2</v>
      </c>
      <c r="Z15" t="s">
        <v>29</v>
      </c>
      <c r="AA15" t="s">
        <v>28</v>
      </c>
      <c r="AB15" t="s">
        <v>38</v>
      </c>
      <c r="AC15" t="s">
        <v>39</v>
      </c>
    </row>
    <row r="16" spans="1:29" x14ac:dyDescent="0.4">
      <c r="A16" s="2">
        <v>46009</v>
      </c>
      <c r="B16" s="3">
        <v>3994.51</v>
      </c>
      <c r="C16" s="3">
        <v>901.33</v>
      </c>
      <c r="D16" s="3">
        <v>2447.77</v>
      </c>
      <c r="E16" s="17">
        <v>1628114</v>
      </c>
      <c r="F16">
        <f t="shared" si="7"/>
        <v>1528114</v>
      </c>
      <c r="G16">
        <f t="shared" si="2"/>
        <v>1.0172974514782547</v>
      </c>
      <c r="H16">
        <f t="shared" si="3"/>
        <v>1.0187426666666666</v>
      </c>
      <c r="I16" s="6">
        <f t="shared" si="4"/>
        <v>0.98757491754960725</v>
      </c>
      <c r="J16" s="10">
        <f t="shared" si="5"/>
        <v>1.0155542094694392</v>
      </c>
      <c r="V16" s="13">
        <f t="shared" si="6"/>
        <v>6.5189472551077021E-3</v>
      </c>
      <c r="W16" s="6">
        <f t="shared" si="0"/>
        <v>2.0613645317037778E-3</v>
      </c>
      <c r="X16" s="6">
        <f t="shared" si="0"/>
        <v>1.5466033528230502E-2</v>
      </c>
      <c r="Y16" s="10">
        <f t="shared" si="0"/>
        <v>6.1647948949451106E-3</v>
      </c>
      <c r="Z16" s="14" cm="1">
        <f t="array" ref="Z16">MIN(G2:G93/_xlfn.SCAN(G2,G2:G93,_xlfn.LAMBDA(_xlpm.a,_xlpm.b,MAX(_xlpm.a,_xlpm.b)))-1)</f>
        <v>-0.198946612401245</v>
      </c>
      <c r="AA16" s="14" cm="1">
        <f t="array" ref="AA16">MIN(H2:H93/_xlfn.SCAN(H2,H2:H93,_xlfn.LAMBDA(_xlpm.a,_xlpm.b,MAX(_xlpm.a,_xlpm.b)))-1)</f>
        <v>-9.9449205360410908E-2</v>
      </c>
      <c r="AB16" s="14" cm="1">
        <f t="array" ref="AB16">MIN(I2:I93/_xlfn.SCAN(I2,I2:I93,_xlfn.LAMBDA(_xlpm.a,_xlpm.b,MAX(_xlpm.a,_xlpm.b)))-1)</f>
        <v>-0.17969784872315087</v>
      </c>
      <c r="AC16" s="14" cm="1">
        <f t="array" ref="AC16">MIN(J2:J93/_xlfn.SCAN(J2,J2:J93,_xlfn.LAMBDA(_xlpm.a,_xlpm.b,MAX(_xlpm.a,_xlpm.b)))-1)</f>
        <v>-0.19711178844206534</v>
      </c>
    </row>
    <row r="17" spans="1:25" x14ac:dyDescent="0.4">
      <c r="A17" s="2">
        <v>46010</v>
      </c>
      <c r="B17" s="3">
        <v>4020.55</v>
      </c>
      <c r="C17" s="3">
        <v>915.27</v>
      </c>
      <c r="D17" s="3">
        <v>2462.86</v>
      </c>
      <c r="E17" s="17">
        <v>1631264</v>
      </c>
      <c r="F17">
        <f t="shared" si="7"/>
        <v>1531264</v>
      </c>
      <c r="G17">
        <f t="shared" si="2"/>
        <v>1.0239291599071969</v>
      </c>
      <c r="H17">
        <f t="shared" si="3"/>
        <v>1.0208426666666666</v>
      </c>
      <c r="I17" s="6">
        <f t="shared" si="4"/>
        <v>1.0028487843360689</v>
      </c>
      <c r="J17" s="10">
        <f t="shared" si="5"/>
        <v>1.0218148928755164</v>
      </c>
      <c r="V17" s="13">
        <f t="shared" si="6"/>
        <v>2.1235900560868597E-2</v>
      </c>
      <c r="W17" s="6">
        <f t="shared" si="0"/>
        <v>3.1026655103236823E-3</v>
      </c>
      <c r="X17" s="6">
        <f t="shared" si="0"/>
        <v>1.5153998273733314E-2</v>
      </c>
      <c r="Y17" s="10">
        <f t="shared" si="0"/>
        <v>2.2932688013123047E-2</v>
      </c>
    </row>
    <row r="18" spans="1:25" x14ac:dyDescent="0.4">
      <c r="A18" s="2">
        <v>46013</v>
      </c>
      <c r="B18" s="3">
        <v>4105.93</v>
      </c>
      <c r="C18" s="3">
        <v>929.14</v>
      </c>
      <c r="D18" s="3">
        <v>2519.34</v>
      </c>
      <c r="E18" s="17">
        <v>1636015</v>
      </c>
      <c r="F18">
        <f t="shared" si="7"/>
        <v>1536015</v>
      </c>
      <c r="G18">
        <f t="shared" si="2"/>
        <v>1.0456732177283599</v>
      </c>
      <c r="H18">
        <f t="shared" si="3"/>
        <v>1.0240100000000001</v>
      </c>
      <c r="I18" s="6">
        <f t="shared" si="4"/>
        <v>1.0180459530827133</v>
      </c>
      <c r="J18" s="10">
        <f t="shared" si="5"/>
        <v>1.0452478550209934</v>
      </c>
      <c r="V18" s="13">
        <f t="shared" si="6"/>
        <v>2.7740365763661433E-3</v>
      </c>
      <c r="W18" s="6">
        <f t="shared" ref="W18:W81" si="11">(H19-H18)/H18</f>
        <v>-1.9309707261974955E-3</v>
      </c>
      <c r="X18" s="6">
        <f t="shared" ref="X18:X81" si="12">(I19-I18)/I18</f>
        <v>-1.0310609811223165E-2</v>
      </c>
      <c r="Y18" s="10">
        <f t="shared" ref="Y18:Y81" si="13">(J19-J18)/J18</f>
        <v>1.2741432279883425E-3</v>
      </c>
    </row>
    <row r="19" spans="1:25" x14ac:dyDescent="0.4">
      <c r="A19" s="2">
        <v>46014</v>
      </c>
      <c r="B19" s="3">
        <v>4117.32</v>
      </c>
      <c r="C19" s="3">
        <v>919.56</v>
      </c>
      <c r="D19" s="3">
        <v>2522.5500000000002</v>
      </c>
      <c r="E19" s="17">
        <v>1633049</v>
      </c>
      <c r="F19">
        <f t="shared" si="7"/>
        <v>1533049</v>
      </c>
      <c r="G19">
        <f t="shared" si="2"/>
        <v>1.0485739534812648</v>
      </c>
      <c r="H19">
        <f t="shared" si="3"/>
        <v>1.0220326666666666</v>
      </c>
      <c r="I19" s="6">
        <f t="shared" si="4"/>
        <v>1.0075492784905826</v>
      </c>
      <c r="J19" s="10">
        <f t="shared" si="5"/>
        <v>1.0465796504970377</v>
      </c>
      <c r="V19" s="13">
        <f t="shared" si="6"/>
        <v>-2.1130249774125574E-3</v>
      </c>
      <c r="W19" s="6">
        <f t="shared" si="11"/>
        <v>1.9568846136596204E-6</v>
      </c>
      <c r="X19" s="6">
        <f t="shared" si="12"/>
        <v>-4.7413980599417174E-3</v>
      </c>
      <c r="Y19" s="10">
        <f t="shared" si="13"/>
        <v>-1.3914491288577629E-3</v>
      </c>
    </row>
    <row r="20" spans="1:25" x14ac:dyDescent="0.4">
      <c r="A20" s="2">
        <v>46015</v>
      </c>
      <c r="B20" s="3">
        <v>4108.62</v>
      </c>
      <c r="C20" s="3">
        <v>915.2</v>
      </c>
      <c r="D20" s="3">
        <v>2519.04</v>
      </c>
      <c r="E20" s="17">
        <v>1633052</v>
      </c>
      <c r="F20">
        <f t="shared" si="7"/>
        <v>1533052</v>
      </c>
      <c r="G20">
        <f t="shared" si="2"/>
        <v>1.0463582905268947</v>
      </c>
      <c r="H20">
        <f t="shared" si="3"/>
        <v>1.0220346666666666</v>
      </c>
      <c r="I20" s="6">
        <f t="shared" si="4"/>
        <v>1.0027720862962517</v>
      </c>
      <c r="J20" s="10">
        <f t="shared" si="5"/>
        <v>1.0451233881540734</v>
      </c>
      <c r="V20" s="13">
        <f t="shared" si="6"/>
        <v>5.1258086656834987E-3</v>
      </c>
      <c r="W20" s="6">
        <f t="shared" si="11"/>
        <v>-4.3331863498432899E-3</v>
      </c>
      <c r="X20" s="6">
        <f t="shared" si="12"/>
        <v>4.8841783216783397E-3</v>
      </c>
      <c r="Y20" s="10">
        <f t="shared" si="13"/>
        <v>8.761274136178927E-3</v>
      </c>
    </row>
    <row r="21" spans="1:25" x14ac:dyDescent="0.4">
      <c r="A21" s="2">
        <v>46017</v>
      </c>
      <c r="B21" s="3">
        <v>4129.68</v>
      </c>
      <c r="C21" s="3">
        <v>919.67</v>
      </c>
      <c r="D21" s="3">
        <v>2541.11</v>
      </c>
      <c r="E21" s="17">
        <v>1626409</v>
      </c>
      <c r="F21">
        <f t="shared" si="7"/>
        <v>1526409</v>
      </c>
      <c r="G21">
        <f t="shared" si="2"/>
        <v>1.0517217229198872</v>
      </c>
      <c r="H21">
        <f t="shared" si="3"/>
        <v>1.017606</v>
      </c>
      <c r="I21" s="6">
        <f t="shared" si="4"/>
        <v>1.007669803981724</v>
      </c>
      <c r="J21" s="10">
        <f t="shared" si="5"/>
        <v>1.0542800006638233</v>
      </c>
      <c r="V21" s="13">
        <f t="shared" si="6"/>
        <v>2.200654772282613E-2</v>
      </c>
      <c r="W21" s="6">
        <f t="shared" si="11"/>
        <v>-3.8194219242679325E-3</v>
      </c>
      <c r="X21" s="6">
        <f t="shared" si="12"/>
        <v>1.4048517402981507E-2</v>
      </c>
      <c r="Y21" s="10">
        <f t="shared" si="13"/>
        <v>2.4139057341083056E-2</v>
      </c>
    </row>
    <row r="22" spans="1:25" x14ac:dyDescent="0.4">
      <c r="A22" s="2">
        <v>46020</v>
      </c>
      <c r="B22" s="3">
        <v>4220.5600000000004</v>
      </c>
      <c r="C22" s="3">
        <v>932.59</v>
      </c>
      <c r="D22" s="3">
        <v>2602.4499999999998</v>
      </c>
      <c r="E22" s="17">
        <v>1620579</v>
      </c>
      <c r="F22">
        <f t="shared" si="7"/>
        <v>1520579</v>
      </c>
      <c r="G22">
        <f t="shared" si="2"/>
        <v>1.0748664872064566</v>
      </c>
      <c r="H22">
        <f t="shared" si="3"/>
        <v>1.0137193333333334</v>
      </c>
      <c r="I22" s="6">
        <f t="shared" si="4"/>
        <v>1.0218260707594202</v>
      </c>
      <c r="J22" s="10">
        <f t="shared" si="5"/>
        <v>1.0797293260534044</v>
      </c>
      <c r="V22" s="13">
        <f t="shared" si="6"/>
        <v>-1.5140170972573043E-3</v>
      </c>
      <c r="W22" s="6">
        <f t="shared" si="11"/>
        <v>3.0514692100831915E-4</v>
      </c>
      <c r="X22" s="6">
        <f t="shared" si="12"/>
        <v>-7.634651883464399E-3</v>
      </c>
      <c r="Y22" s="10">
        <f t="shared" si="13"/>
        <v>-5.1105688870094115E-4</v>
      </c>
    </row>
    <row r="23" spans="1:25" x14ac:dyDescent="0.4">
      <c r="A23" s="2">
        <v>46021</v>
      </c>
      <c r="B23" s="3">
        <v>4214.17</v>
      </c>
      <c r="C23" s="3">
        <v>925.47</v>
      </c>
      <c r="D23" s="3">
        <v>2601.12</v>
      </c>
      <c r="E23" s="17">
        <v>1621043</v>
      </c>
      <c r="F23">
        <f t="shared" si="7"/>
        <v>1521043</v>
      </c>
      <c r="G23">
        <f t="shared" si="2"/>
        <v>1.0732391209675571</v>
      </c>
      <c r="H23">
        <f t="shared" si="3"/>
        <v>1.0140286666666667</v>
      </c>
      <c r="I23" s="6">
        <f t="shared" si="4"/>
        <v>1.0140247844237238</v>
      </c>
      <c r="J23" s="10">
        <f t="shared" si="5"/>
        <v>1.0791775229433924</v>
      </c>
      <c r="V23" s="13">
        <f t="shared" si="6"/>
        <v>2.2652147397945483E-2</v>
      </c>
      <c r="W23" s="6">
        <f t="shared" si="11"/>
        <v>2.2583187983507731E-3</v>
      </c>
      <c r="X23" s="6">
        <f t="shared" si="12"/>
        <v>2.1718694285066044E-2</v>
      </c>
      <c r="Y23" s="10">
        <f t="shared" si="13"/>
        <v>2.7864919726886879E-2</v>
      </c>
    </row>
    <row r="24" spans="1:25" x14ac:dyDescent="0.4">
      <c r="A24" s="2">
        <v>46024</v>
      </c>
      <c r="B24" s="3">
        <v>4309.63</v>
      </c>
      <c r="C24" s="3">
        <v>945.57</v>
      </c>
      <c r="D24" s="3">
        <v>2673.6</v>
      </c>
      <c r="E24" s="17">
        <v>1624478</v>
      </c>
      <c r="F24">
        <f t="shared" ref="F24:F45" si="14">E24-100000</f>
        <v>1524478</v>
      </c>
      <c r="G24">
        <f t="shared" si="2"/>
        <v>1.0975502917289557</v>
      </c>
      <c r="H24">
        <f t="shared" si="3"/>
        <v>1.0163186666666666</v>
      </c>
      <c r="I24" s="6">
        <f t="shared" si="4"/>
        <v>1.0360480787141026</v>
      </c>
      <c r="J24" s="10">
        <f t="shared" si="5"/>
        <v>1.1092487179912707</v>
      </c>
      <c r="V24" s="13">
        <f t="shared" si="6"/>
        <v>3.4316170993797579E-2</v>
      </c>
      <c r="W24" s="6">
        <f t="shared" si="11"/>
        <v>-5.4792525703879187E-3</v>
      </c>
      <c r="X24" s="6">
        <f t="shared" si="12"/>
        <v>1.2616728534111603E-2</v>
      </c>
      <c r="Y24" s="10">
        <f t="shared" si="13"/>
        <v>3.5143626570915472E-2</v>
      </c>
    </row>
    <row r="25" spans="1:25" x14ac:dyDescent="0.4">
      <c r="A25" s="2">
        <v>46027</v>
      </c>
      <c r="B25" s="3">
        <v>4457.5200000000004</v>
      </c>
      <c r="C25" s="3">
        <v>957.5</v>
      </c>
      <c r="D25" s="3">
        <v>2767.56</v>
      </c>
      <c r="E25" s="17">
        <v>1616125</v>
      </c>
      <c r="F25">
        <f t="shared" si="14"/>
        <v>1516125</v>
      </c>
      <c r="G25">
        <f t="shared" si="2"/>
        <v>1.1352140152142189</v>
      </c>
      <c r="H25">
        <f t="shared" si="3"/>
        <v>1.01075</v>
      </c>
      <c r="I25" s="6">
        <f t="shared" si="4"/>
        <v>1.0491196160715264</v>
      </c>
      <c r="J25" s="10">
        <f t="shared" si="5"/>
        <v>1.1482317407106226</v>
      </c>
      <c r="V25" s="13">
        <f t="shared" si="6"/>
        <v>1.5246145838941792E-2</v>
      </c>
      <c r="W25" s="6">
        <f t="shared" si="11"/>
        <v>-2.0539203561711272E-3</v>
      </c>
      <c r="X25" s="6">
        <f t="shared" si="12"/>
        <v>-1.5979112271539862E-3</v>
      </c>
      <c r="Y25" s="10">
        <f t="shared" si="13"/>
        <v>1.3968983508939268E-2</v>
      </c>
    </row>
    <row r="26" spans="1:25" x14ac:dyDescent="0.4">
      <c r="A26" s="2">
        <v>46028</v>
      </c>
      <c r="B26" s="3">
        <v>4525.4799999999996</v>
      </c>
      <c r="C26" s="3">
        <v>955.97</v>
      </c>
      <c r="D26" s="3">
        <v>2806.22</v>
      </c>
      <c r="E26" s="17">
        <v>1613011</v>
      </c>
      <c r="F26">
        <f t="shared" si="14"/>
        <v>1513011</v>
      </c>
      <c r="G26">
        <f t="shared" si="2"/>
        <v>1.1525216536485856</v>
      </c>
      <c r="H26">
        <f t="shared" si="3"/>
        <v>1.0086740000000001</v>
      </c>
      <c r="I26" s="6">
        <f t="shared" si="4"/>
        <v>1.0474432160583782</v>
      </c>
      <c r="J26" s="10">
        <f t="shared" si="5"/>
        <v>1.1642713709610499</v>
      </c>
      <c r="V26" s="13">
        <f t="shared" si="6"/>
        <v>5.652439078285657E-3</v>
      </c>
      <c r="W26" s="6">
        <f t="shared" si="11"/>
        <v>-8.7448141487405234E-3</v>
      </c>
      <c r="X26" s="6">
        <f t="shared" si="12"/>
        <v>-8.9751770453047677E-3</v>
      </c>
      <c r="Y26" s="10">
        <f t="shared" si="13"/>
        <v>5.0174255760419822E-3</v>
      </c>
    </row>
    <row r="27" spans="1:25" x14ac:dyDescent="0.4">
      <c r="A27" s="2">
        <v>46029</v>
      </c>
      <c r="B27" s="3">
        <v>4551.0600000000004</v>
      </c>
      <c r="C27" s="3">
        <v>947.39</v>
      </c>
      <c r="D27" s="3">
        <v>2820.3</v>
      </c>
      <c r="E27" s="17">
        <v>1599780</v>
      </c>
      <c r="F27">
        <f t="shared" si="14"/>
        <v>1499780</v>
      </c>
      <c r="G27">
        <f t="shared" si="2"/>
        <v>1.1590362120822393</v>
      </c>
      <c r="H27">
        <f t="shared" si="3"/>
        <v>0.99985333333333337</v>
      </c>
      <c r="I27" s="6">
        <f t="shared" si="4"/>
        <v>1.0380422277493508</v>
      </c>
      <c r="J27" s="10">
        <f t="shared" si="5"/>
        <v>1.1701130159151634</v>
      </c>
      <c r="V27" s="13">
        <f t="shared" si="6"/>
        <v>2.8784502950946795E-4</v>
      </c>
      <c r="W27" s="6">
        <f t="shared" si="11"/>
        <v>-9.3860432863487053E-3</v>
      </c>
      <c r="X27" s="6">
        <f t="shared" si="12"/>
        <v>-3.5149199379348648E-3</v>
      </c>
      <c r="Y27" s="10">
        <f t="shared" si="13"/>
        <v>-1.3580115590542312E-3</v>
      </c>
    </row>
    <row r="28" spans="1:25" x14ac:dyDescent="0.4">
      <c r="A28" s="2">
        <v>46030</v>
      </c>
      <c r="B28" s="3">
        <v>4552.37</v>
      </c>
      <c r="C28" s="3">
        <v>944.06</v>
      </c>
      <c r="D28" s="3">
        <v>2816.47</v>
      </c>
      <c r="E28" s="17">
        <v>1585703</v>
      </c>
      <c r="F28">
        <f t="shared" si="14"/>
        <v>1485703</v>
      </c>
      <c r="G28">
        <f t="shared" si="2"/>
        <v>1.1593698348949086</v>
      </c>
      <c r="H28">
        <f t="shared" si="3"/>
        <v>0.99046866666666666</v>
      </c>
      <c r="I28" s="6">
        <f t="shared" si="4"/>
        <v>1.0343935924266163</v>
      </c>
      <c r="J28" s="10">
        <f t="shared" si="5"/>
        <v>1.1685239889141508</v>
      </c>
      <c r="V28" s="13">
        <f t="shared" si="6"/>
        <v>7.4576539253180382E-3</v>
      </c>
      <c r="W28" s="6">
        <f t="shared" si="11"/>
        <v>2.7125206047237723E-3</v>
      </c>
      <c r="X28" s="6">
        <f t="shared" si="12"/>
        <v>4.0887231743746812E-3</v>
      </c>
      <c r="Y28" s="10">
        <f t="shared" si="13"/>
        <v>5.8441950384701506E-3</v>
      </c>
    </row>
    <row r="29" spans="1:25" x14ac:dyDescent="0.4">
      <c r="A29" s="2">
        <v>46031</v>
      </c>
      <c r="B29" s="3">
        <v>4586.32</v>
      </c>
      <c r="C29" s="3">
        <v>947.92</v>
      </c>
      <c r="D29" s="3">
        <v>2832.93</v>
      </c>
      <c r="E29" s="17">
        <v>1589733</v>
      </c>
      <c r="F29">
        <f t="shared" si="14"/>
        <v>1489733</v>
      </c>
      <c r="G29">
        <f t="shared" si="2"/>
        <v>1.168016013895008</v>
      </c>
      <c r="H29">
        <f t="shared" si="3"/>
        <v>0.99315533333333328</v>
      </c>
      <c r="I29" s="6">
        <f t="shared" si="4"/>
        <v>1.0386229414793957</v>
      </c>
      <c r="J29" s="10">
        <f t="shared" si="5"/>
        <v>1.1753530710124962</v>
      </c>
      <c r="V29" s="13">
        <f t="shared" si="6"/>
        <v>8.3879886270475205E-3</v>
      </c>
      <c r="W29" s="6">
        <f t="shared" si="11"/>
        <v>2.8998484963419554E-4</v>
      </c>
      <c r="X29" s="6">
        <f t="shared" si="12"/>
        <v>1.9938391425436486E-3</v>
      </c>
      <c r="Y29" s="10">
        <f t="shared" si="13"/>
        <v>6.3361960937970844E-3</v>
      </c>
    </row>
    <row r="30" spans="1:25" x14ac:dyDescent="0.4">
      <c r="A30" s="2">
        <v>46034</v>
      </c>
      <c r="B30" s="3">
        <v>4624.79</v>
      </c>
      <c r="C30" s="3">
        <v>949.81</v>
      </c>
      <c r="D30" s="3">
        <v>2850.88</v>
      </c>
      <c r="E30" s="17">
        <v>1590165</v>
      </c>
      <c r="F30">
        <f t="shared" si="14"/>
        <v>1490165</v>
      </c>
      <c r="G30">
        <f t="shared" si="2"/>
        <v>1.1778133189357687</v>
      </c>
      <c r="H30">
        <f t="shared" si="3"/>
        <v>0.99344333333333334</v>
      </c>
      <c r="I30" s="6">
        <f t="shared" si="4"/>
        <v>1.0406937885544612</v>
      </c>
      <c r="J30" s="10">
        <f t="shared" si="5"/>
        <v>1.182800338549878</v>
      </c>
      <c r="V30" s="13">
        <f t="shared" si="6"/>
        <v>1.4670936410085643E-2</v>
      </c>
      <c r="W30" s="6">
        <f t="shared" si="11"/>
        <v>1.6561924350658582E-3</v>
      </c>
      <c r="X30" s="6">
        <f t="shared" si="12"/>
        <v>-8.7385898232286274E-4</v>
      </c>
      <c r="Y30" s="10">
        <f t="shared" si="13"/>
        <v>1.002146705578621E-2</v>
      </c>
    </row>
    <row r="31" spans="1:25" x14ac:dyDescent="0.4">
      <c r="A31" s="2">
        <v>46035</v>
      </c>
      <c r="B31" s="3">
        <v>4692.6400000000003</v>
      </c>
      <c r="C31" s="3">
        <v>948.98</v>
      </c>
      <c r="D31" s="3">
        <v>2879.45</v>
      </c>
      <c r="E31" s="17">
        <v>1592633</v>
      </c>
      <c r="F31">
        <f t="shared" si="14"/>
        <v>1492633</v>
      </c>
      <c r="G31">
        <f t="shared" si="2"/>
        <v>1.1950929432408273</v>
      </c>
      <c r="H31">
        <f t="shared" si="3"/>
        <v>0.99508866666666662</v>
      </c>
      <c r="I31" s="6">
        <f t="shared" si="4"/>
        <v>1.0397843689394852</v>
      </c>
      <c r="J31" s="10">
        <f t="shared" si="5"/>
        <v>1.1946537331762284</v>
      </c>
      <c r="V31" s="13">
        <f t="shared" si="6"/>
        <v>6.4910157182311995E-3</v>
      </c>
      <c r="W31" s="6">
        <f t="shared" si="11"/>
        <v>3.5909697829273122E-3</v>
      </c>
      <c r="X31" s="6">
        <f t="shared" si="12"/>
        <v>-7.165588315876029E-3</v>
      </c>
      <c r="Y31" s="10">
        <f t="shared" si="13"/>
        <v>5.7337338727881833E-3</v>
      </c>
    </row>
    <row r="32" spans="1:25" x14ac:dyDescent="0.4">
      <c r="A32" s="2">
        <v>46036</v>
      </c>
      <c r="B32" s="3">
        <v>4723.1000000000004</v>
      </c>
      <c r="C32" s="3">
        <v>942.18</v>
      </c>
      <c r="D32" s="3">
        <v>2895.96</v>
      </c>
      <c r="E32" s="17">
        <v>1597993</v>
      </c>
      <c r="F32">
        <f t="shared" si="14"/>
        <v>1497993</v>
      </c>
      <c r="G32">
        <f t="shared" si="2"/>
        <v>1.2028503103201507</v>
      </c>
      <c r="H32">
        <f t="shared" si="3"/>
        <v>0.99866200000000005</v>
      </c>
      <c r="I32" s="6">
        <f t="shared" si="4"/>
        <v>1.0323337022143819</v>
      </c>
      <c r="J32" s="10">
        <f t="shared" si="5"/>
        <v>1.2015035597523938</v>
      </c>
      <c r="V32" s="13">
        <f t="shared" si="6"/>
        <v>1.5762952298278576E-2</v>
      </c>
      <c r="W32" s="6">
        <f t="shared" si="11"/>
        <v>5.8978913786644927E-3</v>
      </c>
      <c r="X32" s="6">
        <f t="shared" si="12"/>
        <v>9.5310874779766467E-3</v>
      </c>
      <c r="Y32" s="10">
        <f t="shared" si="13"/>
        <v>1.4534040525421709E-2</v>
      </c>
    </row>
    <row r="33" spans="1:31" x14ac:dyDescent="0.4">
      <c r="A33" s="2">
        <v>46037</v>
      </c>
      <c r="B33" s="3">
        <v>4797.55</v>
      </c>
      <c r="C33" s="3">
        <v>951.16</v>
      </c>
      <c r="D33" s="3">
        <v>2938.05</v>
      </c>
      <c r="E33" s="17">
        <v>1606828</v>
      </c>
      <c r="F33">
        <f t="shared" si="14"/>
        <v>1506828</v>
      </c>
      <c r="G33">
        <f t="shared" si="2"/>
        <v>1.2218107823836968</v>
      </c>
      <c r="H33">
        <f t="shared" si="3"/>
        <v>1.0045519999999999</v>
      </c>
      <c r="I33" s="6">
        <f t="shared" si="4"/>
        <v>1.0421729650366507</v>
      </c>
      <c r="J33" s="10">
        <f t="shared" si="5"/>
        <v>1.2189662611812735</v>
      </c>
      <c r="V33" s="13">
        <f t="shared" si="6"/>
        <v>9.0025116986795339E-3</v>
      </c>
      <c r="W33" s="6">
        <f t="shared" si="11"/>
        <v>-5.5407783768285264E-3</v>
      </c>
      <c r="X33" s="6">
        <f t="shared" si="12"/>
        <v>3.6061230497499066E-3</v>
      </c>
      <c r="Y33" s="10">
        <f t="shared" si="13"/>
        <v>1.0820101768179548E-2</v>
      </c>
    </row>
    <row r="34" spans="1:31" x14ac:dyDescent="0.4">
      <c r="A34" s="2">
        <v>46038</v>
      </c>
      <c r="B34" s="3">
        <v>4840.74</v>
      </c>
      <c r="C34" s="3">
        <v>954.59</v>
      </c>
      <c r="D34" s="3">
        <v>2969.84</v>
      </c>
      <c r="E34" s="17">
        <v>1598479</v>
      </c>
      <c r="F34">
        <f t="shared" si="14"/>
        <v>1498479</v>
      </c>
      <c r="G34">
        <f t="shared" si="2"/>
        <v>1.2328101482456788</v>
      </c>
      <c r="H34">
        <f t="shared" si="3"/>
        <v>0.99898600000000004</v>
      </c>
      <c r="I34" s="6">
        <f t="shared" si="4"/>
        <v>1.0459311689876956</v>
      </c>
      <c r="J34" s="10">
        <f t="shared" si="5"/>
        <v>1.2321556001792322</v>
      </c>
      <c r="V34" s="13">
        <f t="shared" si="6"/>
        <v>1.3204592686242219E-2</v>
      </c>
      <c r="W34" s="6">
        <f t="shared" si="11"/>
        <v>9.0491758643264746E-3</v>
      </c>
      <c r="X34" s="6">
        <f t="shared" si="12"/>
        <v>1.4425041117128693E-2</v>
      </c>
      <c r="Y34" s="10">
        <f t="shared" si="13"/>
        <v>1.2960294157260905E-2</v>
      </c>
    </row>
    <row r="35" spans="1:31" x14ac:dyDescent="0.4">
      <c r="A35" s="2">
        <v>46041</v>
      </c>
      <c r="B35" s="3">
        <v>4904.66</v>
      </c>
      <c r="C35" s="3">
        <v>968.36</v>
      </c>
      <c r="D35" s="3">
        <v>3008.33</v>
      </c>
      <c r="E35" s="17">
        <v>1612039</v>
      </c>
      <c r="F35">
        <f t="shared" si="14"/>
        <v>1512039</v>
      </c>
      <c r="G35">
        <f t="shared" ref="G35:G66" si="15">B35/B$2</f>
        <v>1.2490889041127289</v>
      </c>
      <c r="H35">
        <f t="shared" ref="H35:H66" si="16">F35/F$2</f>
        <v>1.0080260000000001</v>
      </c>
      <c r="I35" s="6">
        <f t="shared" si="4"/>
        <v>1.0610187691060295</v>
      </c>
      <c r="J35" s="10">
        <f t="shared" si="5"/>
        <v>1.2481246992050714</v>
      </c>
      <c r="V35" s="13">
        <f t="shared" si="6"/>
        <v>-3.8555169981202664E-3</v>
      </c>
      <c r="W35" s="6">
        <f t="shared" si="11"/>
        <v>1.0701443547421653E-2</v>
      </c>
      <c r="X35" s="6">
        <f t="shared" si="12"/>
        <v>8.2717171299931305E-3</v>
      </c>
      <c r="Y35" s="10">
        <f t="shared" si="13"/>
        <v>-5.4315849657451936E-3</v>
      </c>
    </row>
    <row r="36" spans="1:31" x14ac:dyDescent="0.4">
      <c r="A36" s="2">
        <v>46042</v>
      </c>
      <c r="B36" s="3">
        <v>4885.75</v>
      </c>
      <c r="C36" s="3">
        <v>976.37</v>
      </c>
      <c r="D36" s="3">
        <v>2991.99</v>
      </c>
      <c r="E36" s="17">
        <v>1628220</v>
      </c>
      <c r="F36">
        <f t="shared" si="14"/>
        <v>1528220</v>
      </c>
      <c r="G36">
        <f t="shared" si="15"/>
        <v>1.2442730206107588</v>
      </c>
      <c r="H36">
        <f t="shared" si="16"/>
        <v>1.0188133333333333</v>
      </c>
      <c r="I36" s="6">
        <f t="shared" si="4"/>
        <v>1.0697952162336881</v>
      </c>
      <c r="J36" s="10">
        <f t="shared" si="5"/>
        <v>1.2413454038534939</v>
      </c>
      <c r="V36" s="13">
        <f t="shared" si="6"/>
        <v>4.9490866294838809E-3</v>
      </c>
      <c r="W36" s="6">
        <f t="shared" si="11"/>
        <v>-2.016725340592415E-3</v>
      </c>
      <c r="X36" s="6">
        <f t="shared" si="12"/>
        <v>-2.5686983418171529E-2</v>
      </c>
      <c r="Y36" s="10">
        <f t="shared" si="13"/>
        <v>3.9772860203410258E-3</v>
      </c>
    </row>
    <row r="37" spans="1:31" x14ac:dyDescent="0.4">
      <c r="A37" s="2">
        <v>46043</v>
      </c>
      <c r="B37" s="3">
        <v>4909.93</v>
      </c>
      <c r="C37" s="3">
        <v>951.29</v>
      </c>
      <c r="D37" s="3">
        <v>3003.89</v>
      </c>
      <c r="E37" s="17">
        <v>1625138</v>
      </c>
      <c r="F37">
        <f t="shared" si="14"/>
        <v>1525138</v>
      </c>
      <c r="G37">
        <f t="shared" si="15"/>
        <v>1.2504310355804911</v>
      </c>
      <c r="H37">
        <f t="shared" si="16"/>
        <v>1.0167586666666666</v>
      </c>
      <c r="I37" s="6">
        <f t="shared" si="4"/>
        <v>1.0423154042534541</v>
      </c>
      <c r="J37" s="10">
        <f t="shared" si="5"/>
        <v>1.246282589574655</v>
      </c>
      <c r="V37" s="13">
        <f t="shared" si="6"/>
        <v>8.6762947740597739E-3</v>
      </c>
      <c r="W37" s="6">
        <f t="shared" si="11"/>
        <v>-1.7880349188072247E-3</v>
      </c>
      <c r="X37" s="6">
        <f t="shared" si="12"/>
        <v>2.0035951182079046E-2</v>
      </c>
      <c r="Y37" s="10">
        <f t="shared" si="13"/>
        <v>1.1661545529297199E-2</v>
      </c>
    </row>
    <row r="38" spans="1:31" x14ac:dyDescent="0.4">
      <c r="A38" s="2">
        <v>46044</v>
      </c>
      <c r="B38" s="3">
        <v>4952.53</v>
      </c>
      <c r="C38" s="3">
        <v>970.35</v>
      </c>
      <c r="D38" s="3">
        <v>3038.92</v>
      </c>
      <c r="E38" s="17">
        <v>1622411</v>
      </c>
      <c r="F38">
        <f t="shared" si="14"/>
        <v>1522411</v>
      </c>
      <c r="G38">
        <f t="shared" si="15"/>
        <v>1.2612801438398202</v>
      </c>
      <c r="H38">
        <f t="shared" si="16"/>
        <v>1.0149406666666667</v>
      </c>
      <c r="I38" s="6">
        <f t="shared" si="4"/>
        <v>1.0631991848094053</v>
      </c>
      <c r="J38" s="10">
        <f t="shared" si="5"/>
        <v>1.2608161707353502</v>
      </c>
      <c r="V38" s="13">
        <f t="shared" si="6"/>
        <v>7.5799641799242029E-3</v>
      </c>
      <c r="W38" s="6">
        <f t="shared" si="11"/>
        <v>2.9860530434947848E-3</v>
      </c>
      <c r="X38" s="6">
        <f t="shared" si="12"/>
        <v>2.430051012521255E-2</v>
      </c>
      <c r="Y38" s="10">
        <f t="shared" si="13"/>
        <v>9.0064891474602136E-3</v>
      </c>
    </row>
    <row r="39" spans="1:31" x14ac:dyDescent="0.4">
      <c r="A39" s="2">
        <v>46045</v>
      </c>
      <c r="B39" s="3">
        <v>4990.07</v>
      </c>
      <c r="C39" s="3">
        <v>993.93</v>
      </c>
      <c r="D39" s="3">
        <v>3066.29</v>
      </c>
      <c r="E39" s="17">
        <v>1626957</v>
      </c>
      <c r="F39">
        <f t="shared" si="14"/>
        <v>1526957</v>
      </c>
      <c r="G39">
        <f t="shared" si="15"/>
        <v>1.2708406021509757</v>
      </c>
      <c r="H39">
        <f t="shared" si="16"/>
        <v>1.0179713333333333</v>
      </c>
      <c r="I39" s="6">
        <f t="shared" si="4"/>
        <v>1.089035467364984</v>
      </c>
      <c r="J39" s="10">
        <f t="shared" si="5"/>
        <v>1.2721716978940205</v>
      </c>
      <c r="V39" s="13">
        <f t="shared" si="6"/>
        <v>-8.1121106517543038E-3</v>
      </c>
      <c r="W39" s="6">
        <f t="shared" si="11"/>
        <v>9.0212101585047787E-3</v>
      </c>
      <c r="X39" s="6">
        <f t="shared" si="12"/>
        <v>7.0910426287565692E-2</v>
      </c>
      <c r="Y39" s="10">
        <f t="shared" si="13"/>
        <v>-3.913524161119778E-4</v>
      </c>
    </row>
    <row r="40" spans="1:31" x14ac:dyDescent="0.4">
      <c r="A40" s="2">
        <v>46048</v>
      </c>
      <c r="B40" s="3">
        <v>4949.59</v>
      </c>
      <c r="C40" s="3">
        <v>1064.4100000000001</v>
      </c>
      <c r="D40" s="3">
        <v>3065.09</v>
      </c>
      <c r="E40" s="17">
        <v>1640732</v>
      </c>
      <c r="F40">
        <f t="shared" si="14"/>
        <v>1540732</v>
      </c>
      <c r="G40">
        <f t="shared" si="15"/>
        <v>1.2605314025655849</v>
      </c>
      <c r="H40">
        <f t="shared" si="16"/>
        <v>1.0271546666666667</v>
      </c>
      <c r="I40" s="6">
        <f t="shared" si="4"/>
        <v>1.1662594365981134</v>
      </c>
      <c r="J40" s="10">
        <f t="shared" si="5"/>
        <v>1.2716738304263404</v>
      </c>
      <c r="V40" s="13">
        <f t="shared" si="6"/>
        <v>2.7327516016478082E-2</v>
      </c>
      <c r="W40" s="6">
        <f t="shared" si="11"/>
        <v>7.2251371426048918E-3</v>
      </c>
      <c r="X40" s="6">
        <f t="shared" si="12"/>
        <v>1.707988463092219E-2</v>
      </c>
      <c r="Y40" s="10">
        <f t="shared" si="13"/>
        <v>3.1842458133366412E-2</v>
      </c>
    </row>
    <row r="41" spans="1:31" x14ac:dyDescent="0.4">
      <c r="A41" s="2">
        <v>46049</v>
      </c>
      <c r="B41" s="3">
        <v>5084.8500000000004</v>
      </c>
      <c r="C41" s="3">
        <v>1082.5899999999999</v>
      </c>
      <c r="D41" s="3">
        <v>3162.69</v>
      </c>
      <c r="E41" s="17">
        <v>1651864</v>
      </c>
      <c r="F41">
        <f t="shared" si="14"/>
        <v>1551864</v>
      </c>
      <c r="G41">
        <f t="shared" si="15"/>
        <v>1.2949785946584695</v>
      </c>
      <c r="H41">
        <f t="shared" si="16"/>
        <v>1.0345759999999999</v>
      </c>
      <c r="I41" s="6">
        <f t="shared" si="4"/>
        <v>1.1861790132249335</v>
      </c>
      <c r="J41" s="10">
        <f t="shared" si="5"/>
        <v>1.3121670511309889</v>
      </c>
      <c r="V41" s="13">
        <f t="shared" si="6"/>
        <v>1.6905120111704485E-2</v>
      </c>
      <c r="W41" s="6">
        <f t="shared" si="11"/>
        <v>7.5264327286415434E-4</v>
      </c>
      <c r="X41" s="6">
        <f t="shared" si="12"/>
        <v>4.704458751697313E-2</v>
      </c>
      <c r="Y41" s="10">
        <f t="shared" si="13"/>
        <v>2.1598702370450456E-2</v>
      </c>
    </row>
    <row r="42" spans="1:31" x14ac:dyDescent="0.4">
      <c r="A42" s="2">
        <v>46050</v>
      </c>
      <c r="B42" s="3">
        <v>5170.8100000000004</v>
      </c>
      <c r="C42" s="3">
        <v>1133.52</v>
      </c>
      <c r="D42" s="3">
        <v>3231</v>
      </c>
      <c r="E42" s="17">
        <v>1653032</v>
      </c>
      <c r="F42">
        <f t="shared" si="14"/>
        <v>1553032</v>
      </c>
      <c r="G42">
        <f t="shared" si="15"/>
        <v>1.3168703633432572</v>
      </c>
      <c r="H42">
        <f t="shared" si="16"/>
        <v>1.0353546666666666</v>
      </c>
      <c r="I42" s="6">
        <f t="shared" si="4"/>
        <v>1.2419823156233907</v>
      </c>
      <c r="J42" s="10">
        <f t="shared" si="5"/>
        <v>1.3405081567286787</v>
      </c>
      <c r="V42" s="13">
        <f t="shared" si="6"/>
        <v>9.7547579586175198E-3</v>
      </c>
      <c r="W42" s="6">
        <f t="shared" si="11"/>
        <v>4.9116824379665577E-3</v>
      </c>
      <c r="X42" s="6">
        <f t="shared" si="12"/>
        <v>2.7251393888065564E-2</v>
      </c>
      <c r="Y42" s="10">
        <f t="shared" si="13"/>
        <v>1.1145156298359767E-2</v>
      </c>
    </row>
    <row r="43" spans="1:31" x14ac:dyDescent="0.4">
      <c r="A43" s="2">
        <v>46051</v>
      </c>
      <c r="B43" s="3">
        <v>5221.25</v>
      </c>
      <c r="C43" s="3">
        <v>1164.4100000000001</v>
      </c>
      <c r="D43" s="3">
        <v>3267.01</v>
      </c>
      <c r="E43" s="17">
        <v>1660660</v>
      </c>
      <c r="F43">
        <f t="shared" si="14"/>
        <v>1560660</v>
      </c>
      <c r="G43">
        <f t="shared" si="15"/>
        <v>1.3297161150005474</v>
      </c>
      <c r="H43">
        <f t="shared" si="16"/>
        <v>1.04044</v>
      </c>
      <c r="I43" s="6">
        <f t="shared" si="4"/>
        <v>1.2758280649084555</v>
      </c>
      <c r="J43" s="10">
        <f t="shared" si="5"/>
        <v>1.355448329654646</v>
      </c>
      <c r="V43" s="13">
        <f t="shared" si="6"/>
        <v>5.956428058415047E-4</v>
      </c>
      <c r="W43" s="6">
        <f t="shared" si="11"/>
        <v>-8.3913216203401093E-3</v>
      </c>
      <c r="X43" s="6">
        <f t="shared" si="12"/>
        <v>-1.2856296321742336E-2</v>
      </c>
      <c r="Y43" s="10">
        <f t="shared" si="13"/>
        <v>1.3345536132424345E-3</v>
      </c>
    </row>
    <row r="44" spans="1:31" x14ac:dyDescent="0.4">
      <c r="A44" s="2">
        <v>46052</v>
      </c>
      <c r="B44" s="3">
        <v>5224.3599999999997</v>
      </c>
      <c r="C44" s="3">
        <v>1149.44</v>
      </c>
      <c r="D44" s="3">
        <v>3271.37</v>
      </c>
      <c r="E44" s="17">
        <v>1647564</v>
      </c>
      <c r="F44">
        <f t="shared" si="14"/>
        <v>1547564</v>
      </c>
      <c r="G44">
        <f t="shared" si="15"/>
        <v>1.330508150838259</v>
      </c>
      <c r="H44">
        <f t="shared" si="16"/>
        <v>1.0317093333333334</v>
      </c>
      <c r="I44" s="6">
        <f t="shared" si="4"/>
        <v>1.2594256412503972</v>
      </c>
      <c r="J44" s="10">
        <f t="shared" si="5"/>
        <v>1.35725724812055</v>
      </c>
      <c r="V44" s="13">
        <f t="shared" si="6"/>
        <v>-5.2578689064306405E-2</v>
      </c>
      <c r="W44" s="6">
        <f t="shared" si="11"/>
        <v>-1.0610869728166415E-2</v>
      </c>
      <c r="X44" s="6">
        <f t="shared" si="12"/>
        <v>-4.4439031180401024E-2</v>
      </c>
      <c r="Y44" s="10">
        <f t="shared" si="13"/>
        <v>-5.3570828123996966E-2</v>
      </c>
    </row>
    <row r="45" spans="1:31" s="1" customFormat="1" x14ac:dyDescent="0.4">
      <c r="A45" s="4">
        <v>46055</v>
      </c>
      <c r="B45" s="5">
        <v>4949.67</v>
      </c>
      <c r="C45" s="5">
        <v>1098.3599999999999</v>
      </c>
      <c r="D45" s="5">
        <v>3096.12</v>
      </c>
      <c r="E45" s="19">
        <v>1631143</v>
      </c>
      <c r="F45" s="1">
        <f t="shared" si="14"/>
        <v>1531143</v>
      </c>
      <c r="G45" s="1">
        <f t="shared" si="15"/>
        <v>1.2605517764778089</v>
      </c>
      <c r="H45" s="1">
        <f t="shared" si="16"/>
        <v>1.0207619999999999</v>
      </c>
      <c r="I45" s="8">
        <f t="shared" si="4"/>
        <v>1.2034579859094743</v>
      </c>
      <c r="J45" s="11">
        <f t="shared" si="5"/>
        <v>1.284547853361435</v>
      </c>
      <c r="K45"/>
      <c r="L45"/>
      <c r="M45"/>
      <c r="N45"/>
      <c r="O45"/>
      <c r="P45"/>
      <c r="Q45"/>
      <c r="R45"/>
      <c r="S45"/>
      <c r="T45"/>
      <c r="U45"/>
      <c r="V45" s="13">
        <f t="shared" si="6"/>
        <v>6.8370214579961924E-2</v>
      </c>
      <c r="W45" s="6">
        <f t="shared" si="11"/>
        <v>8.1266086838394473E-3</v>
      </c>
      <c r="X45" s="6">
        <f t="shared" si="12"/>
        <v>4.1853308569139526E-2</v>
      </c>
      <c r="Y45" s="10">
        <f t="shared" si="13"/>
        <v>6.944175290363426E-2</v>
      </c>
      <c r="Z45"/>
      <c r="AA45"/>
      <c r="AB45"/>
      <c r="AC45"/>
      <c r="AD45"/>
      <c r="AE45"/>
    </row>
    <row r="46" spans="1:31" x14ac:dyDescent="0.4">
      <c r="A46" s="2">
        <v>46056</v>
      </c>
      <c r="B46" s="3">
        <v>5288.08</v>
      </c>
      <c r="C46" s="3">
        <v>1144.33</v>
      </c>
      <c r="D46" s="3">
        <v>3311.12</v>
      </c>
      <c r="E46" s="17">
        <v>1543586</v>
      </c>
      <c r="F46">
        <f>E46</f>
        <v>1543586</v>
      </c>
      <c r="G46">
        <f t="shared" si="15"/>
        <v>1.3467359719247489</v>
      </c>
      <c r="H46">
        <f t="shared" si="16"/>
        <v>1.0290573333333333</v>
      </c>
      <c r="I46" s="6">
        <f t="shared" si="4"/>
        <v>1.2538266843437387</v>
      </c>
      <c r="J46" s="10">
        <f t="shared" si="5"/>
        <v>1.3737491079874535</v>
      </c>
      <c r="V46" s="13">
        <f t="shared" si="6"/>
        <v>1.5699459917399152E-2</v>
      </c>
      <c r="W46" s="6">
        <f t="shared" si="11"/>
        <v>6.5956804479959125E-3</v>
      </c>
      <c r="X46" s="6">
        <f t="shared" si="12"/>
        <v>4.4567563552472414E-3</v>
      </c>
      <c r="Y46" s="10">
        <f t="shared" si="13"/>
        <v>1.2581845417864796E-2</v>
      </c>
    </row>
    <row r="47" spans="1:31" x14ac:dyDescent="0.4">
      <c r="A47" s="2">
        <v>46057</v>
      </c>
      <c r="B47" s="3">
        <v>5371.1</v>
      </c>
      <c r="C47" s="3">
        <v>1149.43</v>
      </c>
      <c r="D47" s="3">
        <v>3352.78</v>
      </c>
      <c r="E47" s="17">
        <v>1553767</v>
      </c>
      <c r="F47">
        <f t="shared" ref="F47:F82" si="17">E47</f>
        <v>1553767</v>
      </c>
      <c r="G47">
        <f t="shared" si="15"/>
        <v>1.3678789993353011</v>
      </c>
      <c r="H47">
        <f t="shared" si="16"/>
        <v>1.0358446666666667</v>
      </c>
      <c r="I47" s="6">
        <f t="shared" si="4"/>
        <v>1.2594146843875662</v>
      </c>
      <c r="J47" s="10">
        <f t="shared" si="5"/>
        <v>1.3910334069070813</v>
      </c>
      <c r="V47" s="13">
        <f t="shared" si="6"/>
        <v>-3.8638267766379478E-2</v>
      </c>
      <c r="W47" s="6">
        <f t="shared" si="11"/>
        <v>-6.3008160168177407E-4</v>
      </c>
      <c r="X47" s="6">
        <f t="shared" si="12"/>
        <v>-3.5687253682259917E-2</v>
      </c>
      <c r="Y47" s="10">
        <f t="shared" si="13"/>
        <v>-4.0417206020078943E-2</v>
      </c>
    </row>
    <row r="48" spans="1:31" x14ac:dyDescent="0.4">
      <c r="A48" s="2">
        <v>46058</v>
      </c>
      <c r="B48" s="3">
        <v>5163.57</v>
      </c>
      <c r="C48" s="3">
        <v>1108.4100000000001</v>
      </c>
      <c r="D48" s="3">
        <v>3217.27</v>
      </c>
      <c r="E48" s="17">
        <v>1552788</v>
      </c>
      <c r="F48">
        <f t="shared" si="17"/>
        <v>1552788</v>
      </c>
      <c r="G48">
        <f t="shared" si="15"/>
        <v>1.3150265242869765</v>
      </c>
      <c r="H48">
        <f t="shared" si="16"/>
        <v>1.0351919999999999</v>
      </c>
      <c r="I48" s="6">
        <f t="shared" si="4"/>
        <v>1.2144696330546638</v>
      </c>
      <c r="J48" s="10">
        <f t="shared" si="5"/>
        <v>1.3348117231193055</v>
      </c>
      <c r="V48" s="13">
        <f t="shared" si="6"/>
        <v>-1.4414445819461885E-2</v>
      </c>
      <c r="W48" s="6">
        <f t="shared" si="11"/>
        <v>-5.8301583989570742E-3</v>
      </c>
      <c r="X48" s="6">
        <f t="shared" si="12"/>
        <v>-2.4936620925469794E-2</v>
      </c>
      <c r="Y48" s="10">
        <f t="shared" si="13"/>
        <v>-1.3446182633101905E-2</v>
      </c>
    </row>
    <row r="49" spans="1:25" x14ac:dyDescent="0.4">
      <c r="A49" s="2">
        <v>46059</v>
      </c>
      <c r="B49" s="3">
        <v>5089.1400000000003</v>
      </c>
      <c r="C49" s="3">
        <v>1080.77</v>
      </c>
      <c r="D49" s="3">
        <v>3174.01</v>
      </c>
      <c r="E49" s="17">
        <v>1543735</v>
      </c>
      <c r="F49">
        <f t="shared" si="17"/>
        <v>1543735</v>
      </c>
      <c r="G49">
        <f t="shared" si="15"/>
        <v>1.2960711457014866</v>
      </c>
      <c r="H49">
        <f t="shared" si="16"/>
        <v>1.0291566666666667</v>
      </c>
      <c r="I49" s="6">
        <f t="shared" si="4"/>
        <v>1.1841848641896853</v>
      </c>
      <c r="J49" s="10">
        <f t="shared" si="5"/>
        <v>1.3168636009094379</v>
      </c>
      <c r="V49" s="13">
        <f t="shared" si="6"/>
        <v>4.1048192818432944E-2</v>
      </c>
      <c r="W49" s="6">
        <f t="shared" si="11"/>
        <v>6.1396547982651654E-3</v>
      </c>
      <c r="X49" s="6">
        <f t="shared" si="12"/>
        <v>4.3283954958039134E-2</v>
      </c>
      <c r="Y49" s="10">
        <f t="shared" si="13"/>
        <v>4.3295389743573442E-2</v>
      </c>
    </row>
    <row r="50" spans="1:25" x14ac:dyDescent="0.4">
      <c r="A50" s="2">
        <v>46062</v>
      </c>
      <c r="B50" s="3">
        <v>5298.04</v>
      </c>
      <c r="C50" s="3">
        <v>1127.55</v>
      </c>
      <c r="D50" s="3">
        <v>3311.43</v>
      </c>
      <c r="E50" s="17">
        <v>1553213</v>
      </c>
      <c r="F50">
        <f t="shared" si="17"/>
        <v>1553213</v>
      </c>
      <c r="G50">
        <f t="shared" si="15"/>
        <v>1.3492725239966485</v>
      </c>
      <c r="H50">
        <f t="shared" si="16"/>
        <v>1.0354753333333333</v>
      </c>
      <c r="I50" s="6">
        <f t="shared" si="4"/>
        <v>1.2354410685132633</v>
      </c>
      <c r="J50" s="10">
        <f t="shared" si="5"/>
        <v>1.3738777237499376</v>
      </c>
      <c r="V50" s="13">
        <f t="shared" si="6"/>
        <v>6.8893402088312128E-4</v>
      </c>
      <c r="W50" s="6">
        <f t="shared" si="11"/>
        <v>8.2525706390560137E-3</v>
      </c>
      <c r="X50" s="6">
        <f t="shared" si="12"/>
        <v>-1.0952951088643473E-2</v>
      </c>
      <c r="Y50" s="10">
        <f t="shared" si="13"/>
        <v>-1.2743739109689627E-3</v>
      </c>
    </row>
    <row r="51" spans="1:25" x14ac:dyDescent="0.4">
      <c r="A51" s="2">
        <v>46063</v>
      </c>
      <c r="B51" s="3">
        <v>5301.69</v>
      </c>
      <c r="C51" s="3">
        <v>1115.2</v>
      </c>
      <c r="D51" s="3">
        <v>3307.21</v>
      </c>
      <c r="E51" s="17">
        <v>1566031</v>
      </c>
      <c r="F51">
        <f t="shared" si="17"/>
        <v>1566031</v>
      </c>
      <c r="G51">
        <f t="shared" si="15"/>
        <v>1.3502020837418727</v>
      </c>
      <c r="H51">
        <f t="shared" si="16"/>
        <v>1.0440206666666667</v>
      </c>
      <c r="I51" s="6">
        <f t="shared" si="4"/>
        <v>1.2219093429169361</v>
      </c>
      <c r="J51" s="10">
        <f t="shared" si="5"/>
        <v>1.3721268898219292</v>
      </c>
      <c r="V51" s="13">
        <f t="shared" si="6"/>
        <v>9.9590885170577834E-3</v>
      </c>
      <c r="W51" s="6">
        <f t="shared" si="11"/>
        <v>7.1045847751417942E-3</v>
      </c>
      <c r="X51" s="6">
        <f t="shared" si="12"/>
        <v>-2.9591104734579546E-4</v>
      </c>
      <c r="Y51" s="10">
        <f t="shared" si="13"/>
        <v>8.9320000846635685E-3</v>
      </c>
    </row>
    <row r="52" spans="1:25" x14ac:dyDescent="0.4">
      <c r="A52" s="2">
        <v>46064</v>
      </c>
      <c r="B52" s="3">
        <v>5354.49</v>
      </c>
      <c r="C52" s="3">
        <v>1114.8699999999999</v>
      </c>
      <c r="D52" s="3">
        <v>3336.75</v>
      </c>
      <c r="E52" s="17">
        <v>1577157</v>
      </c>
      <c r="F52">
        <f t="shared" si="17"/>
        <v>1577157</v>
      </c>
      <c r="G52">
        <f t="shared" si="15"/>
        <v>1.3636488658097738</v>
      </c>
      <c r="H52">
        <f t="shared" si="16"/>
        <v>1.0514380000000001</v>
      </c>
      <c r="I52" s="6">
        <f t="shared" si="4"/>
        <v>1.2215477664435119</v>
      </c>
      <c r="J52" s="10">
        <f t="shared" si="5"/>
        <v>1.3843827273179878</v>
      </c>
      <c r="V52" s="13">
        <f t="shared" si="6"/>
        <v>3.133445015304917E-2</v>
      </c>
      <c r="W52" s="6">
        <f t="shared" si="11"/>
        <v>3.0840303153077068E-3</v>
      </c>
      <c r="X52" s="6">
        <f t="shared" si="12"/>
        <v>9.9742570882704138E-3</v>
      </c>
      <c r="Y52" s="10">
        <f t="shared" si="13"/>
        <v>3.1572638046002889E-2</v>
      </c>
    </row>
    <row r="53" spans="1:25" x14ac:dyDescent="0.4">
      <c r="A53" s="2">
        <v>46065</v>
      </c>
      <c r="B53" s="3">
        <v>5522.27</v>
      </c>
      <c r="C53" s="3">
        <v>1125.99</v>
      </c>
      <c r="D53" s="3">
        <v>3442.1</v>
      </c>
      <c r="E53" s="17">
        <v>1582021</v>
      </c>
      <c r="F53">
        <f t="shared" si="17"/>
        <v>1582021</v>
      </c>
      <c r="G53">
        <f t="shared" si="15"/>
        <v>1.4063780532217522</v>
      </c>
      <c r="H53">
        <f t="shared" si="16"/>
        <v>1.0546806666666666</v>
      </c>
      <c r="I53" s="6">
        <f t="shared" si="4"/>
        <v>1.233731797911622</v>
      </c>
      <c r="J53" s="10">
        <f t="shared" si="5"/>
        <v>1.428091342084737</v>
      </c>
      <c r="V53" s="13">
        <f t="shared" si="6"/>
        <v>-2.7633563733754527E-3</v>
      </c>
      <c r="W53" s="6">
        <f t="shared" si="11"/>
        <v>-3.1472401440940704E-3</v>
      </c>
      <c r="X53" s="6">
        <f t="shared" si="12"/>
        <v>-1.7682217426442555E-2</v>
      </c>
      <c r="Y53" s="10">
        <f t="shared" si="13"/>
        <v>-3.6518404462392191E-3</v>
      </c>
    </row>
    <row r="54" spans="1:25" x14ac:dyDescent="0.4">
      <c r="A54" s="2">
        <v>46066</v>
      </c>
      <c r="B54" s="3">
        <v>5507.01</v>
      </c>
      <c r="C54" s="3">
        <v>1106.08</v>
      </c>
      <c r="D54" s="3">
        <v>3429.53</v>
      </c>
      <c r="E54" s="17">
        <v>1577042</v>
      </c>
      <c r="F54">
        <f t="shared" si="17"/>
        <v>1577042</v>
      </c>
      <c r="G54">
        <f t="shared" si="15"/>
        <v>1.4024917294650066</v>
      </c>
      <c r="H54">
        <f t="shared" si="16"/>
        <v>1.0513613333333334</v>
      </c>
      <c r="I54" s="6">
        <f t="shared" si="4"/>
        <v>1.2119166840150328</v>
      </c>
      <c r="J54" s="10">
        <f t="shared" si="5"/>
        <v>1.4228761803607879</v>
      </c>
      <c r="V54" s="13">
        <f t="shared" si="6"/>
        <v>3.0913326832527968E-2</v>
      </c>
      <c r="W54" s="6">
        <f t="shared" si="11"/>
        <v>5.1495140903032666E-3</v>
      </c>
      <c r="X54" s="6">
        <f t="shared" si="12"/>
        <v>4.939064082164047E-2</v>
      </c>
      <c r="Y54" s="10">
        <f t="shared" si="13"/>
        <v>3.3351508807329143E-2</v>
      </c>
    </row>
    <row r="55" spans="1:25" x14ac:dyDescent="0.4">
      <c r="A55" s="2">
        <v>46072</v>
      </c>
      <c r="B55" s="3">
        <v>5677.25</v>
      </c>
      <c r="C55" s="3">
        <v>1160.71</v>
      </c>
      <c r="D55" s="3">
        <v>3543.91</v>
      </c>
      <c r="E55" s="17">
        <v>1585163</v>
      </c>
      <c r="F55">
        <f t="shared" si="17"/>
        <v>1585163</v>
      </c>
      <c r="G55">
        <f t="shared" si="15"/>
        <v>1.4458474146778757</v>
      </c>
      <c r="H55">
        <f t="shared" si="16"/>
        <v>1.0567753333333334</v>
      </c>
      <c r="I55" s="6">
        <f t="shared" si="4"/>
        <v>1.2717740256609729</v>
      </c>
      <c r="J55" s="10">
        <f t="shared" si="5"/>
        <v>1.4703312478218296</v>
      </c>
      <c r="V55" s="13">
        <f t="shared" si="6"/>
        <v>2.3123871592760539E-2</v>
      </c>
      <c r="W55" s="6">
        <f t="shared" si="11"/>
        <v>4.4664176491631579E-4</v>
      </c>
      <c r="X55" s="6">
        <f t="shared" si="12"/>
        <v>-5.7809444219486562E-3</v>
      </c>
      <c r="Y55" s="10">
        <f t="shared" si="13"/>
        <v>1.9455911690759761E-2</v>
      </c>
    </row>
    <row r="56" spans="1:25" x14ac:dyDescent="0.4">
      <c r="A56" s="2">
        <v>46073</v>
      </c>
      <c r="B56" s="3">
        <v>5808.53</v>
      </c>
      <c r="C56" s="3">
        <v>1154</v>
      </c>
      <c r="D56" s="3">
        <v>3612.86</v>
      </c>
      <c r="E56" s="17">
        <v>1585871</v>
      </c>
      <c r="F56">
        <f t="shared" si="17"/>
        <v>1585871</v>
      </c>
      <c r="G56">
        <f t="shared" si="15"/>
        <v>1.4792810046376117</v>
      </c>
      <c r="H56">
        <f t="shared" si="16"/>
        <v>1.0572473333333334</v>
      </c>
      <c r="I56" s="6">
        <f t="shared" si="4"/>
        <v>1.2644219707013489</v>
      </c>
      <c r="J56" s="10">
        <f t="shared" si="5"/>
        <v>1.4989378827356157</v>
      </c>
      <c r="V56" s="13">
        <f t="shared" si="6"/>
        <v>6.4663520718667034E-3</v>
      </c>
      <c r="W56" s="6">
        <f t="shared" si="11"/>
        <v>1.1231682778737814E-2</v>
      </c>
      <c r="X56" s="6">
        <f t="shared" si="12"/>
        <v>-1.7417677642980823E-3</v>
      </c>
      <c r="Y56" s="10">
        <f t="shared" si="13"/>
        <v>6.1281090327330815E-3</v>
      </c>
    </row>
    <row r="57" spans="1:25" x14ac:dyDescent="0.4">
      <c r="A57" s="2">
        <v>46076</v>
      </c>
      <c r="B57" s="3">
        <v>5846.09</v>
      </c>
      <c r="C57" s="3">
        <v>1151.99</v>
      </c>
      <c r="D57" s="3">
        <v>3635</v>
      </c>
      <c r="E57" s="17">
        <v>1603683</v>
      </c>
      <c r="F57">
        <f t="shared" si="17"/>
        <v>1603683</v>
      </c>
      <c r="G57">
        <f t="shared" si="15"/>
        <v>1.4888465564268232</v>
      </c>
      <c r="H57">
        <f t="shared" si="16"/>
        <v>1.0691219999999999</v>
      </c>
      <c r="I57" s="6">
        <f t="shared" si="4"/>
        <v>1.262219641272311</v>
      </c>
      <c r="J57" s="10">
        <f t="shared" si="5"/>
        <v>1.5081235375143136</v>
      </c>
      <c r="V57" s="13">
        <f t="shared" si="6"/>
        <v>2.1133783434740268E-2</v>
      </c>
      <c r="W57" s="6">
        <f t="shared" si="11"/>
        <v>-9.2162852633578915E-4</v>
      </c>
      <c r="X57" s="6">
        <f t="shared" si="12"/>
        <v>1.1293500811638999E-2</v>
      </c>
      <c r="Y57" s="10">
        <f t="shared" si="13"/>
        <v>2.259972489683627E-2</v>
      </c>
    </row>
    <row r="58" spans="1:25" x14ac:dyDescent="0.4">
      <c r="A58" s="2">
        <v>46077</v>
      </c>
      <c r="B58" s="3">
        <v>5969.64</v>
      </c>
      <c r="C58" s="3">
        <v>1165</v>
      </c>
      <c r="D58" s="3">
        <v>3717.15</v>
      </c>
      <c r="E58" s="17">
        <v>1602205</v>
      </c>
      <c r="F58">
        <f t="shared" si="17"/>
        <v>1602205</v>
      </c>
      <c r="G58">
        <f t="shared" si="15"/>
        <v>1.5203115171179065</v>
      </c>
      <c r="H58">
        <f t="shared" si="16"/>
        <v>1.0681366666666667</v>
      </c>
      <c r="I58" s="6">
        <f t="shared" si="4"/>
        <v>1.2764745198154865</v>
      </c>
      <c r="J58" s="10">
        <f t="shared" si="5"/>
        <v>1.5422067145725806</v>
      </c>
      <c r="V58" s="13">
        <f t="shared" si="6"/>
        <v>1.9133482086021787E-2</v>
      </c>
      <c r="W58" s="6">
        <f t="shared" si="11"/>
        <v>8.7816477916360578E-4</v>
      </c>
      <c r="X58" s="6">
        <f t="shared" si="12"/>
        <v>2.1459227467813182E-4</v>
      </c>
      <c r="Y58" s="10">
        <f t="shared" si="13"/>
        <v>1.641849266238923E-2</v>
      </c>
    </row>
    <row r="59" spans="1:25" x14ac:dyDescent="0.4">
      <c r="A59" s="2">
        <v>46078</v>
      </c>
      <c r="B59" s="3">
        <v>6083.86</v>
      </c>
      <c r="C59" s="3">
        <v>1165.25</v>
      </c>
      <c r="D59" s="3">
        <v>3778.18</v>
      </c>
      <c r="E59" s="17">
        <v>1603612</v>
      </c>
      <c r="F59">
        <f t="shared" si="17"/>
        <v>1603612</v>
      </c>
      <c r="G59">
        <f t="shared" si="15"/>
        <v>1.5494003702958545</v>
      </c>
      <c r="H59">
        <f t="shared" si="16"/>
        <v>1.0690746666666666</v>
      </c>
      <c r="I59" s="6">
        <f t="shared" si="4"/>
        <v>1.2767484413862624</v>
      </c>
      <c r="J59" s="10">
        <f t="shared" si="5"/>
        <v>1.5675274241996779</v>
      </c>
      <c r="V59" s="13">
        <f t="shared" si="6"/>
        <v>3.6721752308567418E-2</v>
      </c>
      <c r="W59" s="6">
        <f t="shared" si="11"/>
        <v>-1.2236750535665772E-2</v>
      </c>
      <c r="X59" s="6">
        <f t="shared" si="12"/>
        <v>1.965243509976394E-2</v>
      </c>
      <c r="Y59" s="10">
        <f t="shared" si="13"/>
        <v>4.0305120454822096E-2</v>
      </c>
    </row>
    <row r="60" spans="1:25" x14ac:dyDescent="0.4">
      <c r="A60" s="2">
        <v>46079</v>
      </c>
      <c r="B60" s="3">
        <v>6307.27</v>
      </c>
      <c r="C60" s="3">
        <v>1188.1500000000001</v>
      </c>
      <c r="D60" s="3">
        <v>3930.46</v>
      </c>
      <c r="E60" s="17">
        <v>1583989</v>
      </c>
      <c r="F60">
        <f t="shared" si="17"/>
        <v>1583989</v>
      </c>
      <c r="G60">
        <f t="shared" si="15"/>
        <v>1.6062970669206615</v>
      </c>
      <c r="H60">
        <f t="shared" si="16"/>
        <v>1.0559926666666666</v>
      </c>
      <c r="I60" s="6">
        <f t="shared" si="4"/>
        <v>1.3018396572693307</v>
      </c>
      <c r="J60" s="10">
        <f t="shared" si="5"/>
        <v>1.630706805848283</v>
      </c>
      <c r="V60" s="13">
        <f t="shared" si="6"/>
        <v>-1.0010670226579954E-2</v>
      </c>
      <c r="W60" s="6">
        <f t="shared" si="11"/>
        <v>-4.7449824462163217E-3</v>
      </c>
      <c r="X60" s="6">
        <f t="shared" si="12"/>
        <v>3.8968143752893419E-3</v>
      </c>
      <c r="Y60" s="10">
        <f t="shared" si="13"/>
        <v>-9.6579026373502345E-3</v>
      </c>
    </row>
    <row r="61" spans="1:25" x14ac:dyDescent="0.4">
      <c r="A61" s="2">
        <v>46080</v>
      </c>
      <c r="B61" s="3">
        <v>6244.13</v>
      </c>
      <c r="C61" s="3">
        <v>1192.78</v>
      </c>
      <c r="D61" s="3">
        <v>3892.5</v>
      </c>
      <c r="E61" s="17">
        <v>1576473</v>
      </c>
      <c r="F61">
        <f t="shared" si="17"/>
        <v>1576473</v>
      </c>
      <c r="G61">
        <f t="shared" si="15"/>
        <v>1.5902169566977962</v>
      </c>
      <c r="H61">
        <f t="shared" si="16"/>
        <v>1.0509820000000001</v>
      </c>
      <c r="I61" s="6">
        <f t="shared" si="4"/>
        <v>1.3069126847600996</v>
      </c>
      <c r="J61" s="10">
        <f t="shared" si="5"/>
        <v>1.6149575982873359</v>
      </c>
      <c r="V61" s="13">
        <f t="shared" si="6"/>
        <v>-7.2423219888118964E-2</v>
      </c>
      <c r="W61" s="6">
        <f t="shared" si="11"/>
        <v>-1.603325905359634E-2</v>
      </c>
      <c r="X61" s="6">
        <f t="shared" si="12"/>
        <v>-4.6177836650513865E-2</v>
      </c>
      <c r="Y61" s="10">
        <f t="shared" si="13"/>
        <v>-7.462299293513168E-2</v>
      </c>
    </row>
    <row r="62" spans="1:25" x14ac:dyDescent="0.4">
      <c r="A62" s="2">
        <v>46084</v>
      </c>
      <c r="B62" s="3">
        <v>5791.91</v>
      </c>
      <c r="C62" s="3">
        <v>1137.7</v>
      </c>
      <c r="D62" s="3">
        <v>3602.03</v>
      </c>
      <c r="E62" s="17">
        <v>1551197</v>
      </c>
      <c r="F62">
        <f t="shared" si="17"/>
        <v>1551197</v>
      </c>
      <c r="G62">
        <f t="shared" si="15"/>
        <v>1.4750483243730563</v>
      </c>
      <c r="H62">
        <f t="shared" si="16"/>
        <v>1.0341313333333333</v>
      </c>
      <c r="I62" s="6">
        <f t="shared" si="4"/>
        <v>1.2465622842867632</v>
      </c>
      <c r="J62" s="10">
        <f t="shared" si="5"/>
        <v>1.4944446288398028</v>
      </c>
      <c r="V62" s="13">
        <f t="shared" si="6"/>
        <v>-0.12057680454288819</v>
      </c>
      <c r="W62" s="6">
        <f t="shared" si="11"/>
        <v>-6.8978343820933069E-2</v>
      </c>
      <c r="X62" s="6">
        <f t="shared" si="12"/>
        <v>-0.13998417860595941</v>
      </c>
      <c r="Y62" s="10">
        <f t="shared" si="13"/>
        <v>-0.1213732256533122</v>
      </c>
    </row>
    <row r="63" spans="1:25" x14ac:dyDescent="0.4">
      <c r="A63" s="2">
        <v>46085</v>
      </c>
      <c r="B63" s="3">
        <v>5093.54</v>
      </c>
      <c r="C63" s="3">
        <v>978.44</v>
      </c>
      <c r="D63" s="3">
        <v>3164.84</v>
      </c>
      <c r="E63" s="17">
        <v>1444198</v>
      </c>
      <c r="F63">
        <f t="shared" si="17"/>
        <v>1444198</v>
      </c>
      <c r="G63">
        <f t="shared" si="15"/>
        <v>1.2971917108738116</v>
      </c>
      <c r="H63">
        <f t="shared" si="16"/>
        <v>0.96279866666666669</v>
      </c>
      <c r="I63" s="6">
        <f t="shared" si="4"/>
        <v>1.0720632868397122</v>
      </c>
      <c r="J63" s="10">
        <f t="shared" si="5"/>
        <v>1.313059063677249</v>
      </c>
      <c r="V63" s="13">
        <f t="shared" si="6"/>
        <v>9.627096282742445E-2</v>
      </c>
      <c r="W63" s="6">
        <f t="shared" si="11"/>
        <v>4.2226896865942116E-2</v>
      </c>
      <c r="X63" s="6">
        <f t="shared" si="12"/>
        <v>0.14101017946935943</v>
      </c>
      <c r="Y63" s="10">
        <f t="shared" si="13"/>
        <v>0.10258338494205078</v>
      </c>
    </row>
    <row r="64" spans="1:25" x14ac:dyDescent="0.4">
      <c r="A64" s="2">
        <v>46086</v>
      </c>
      <c r="B64" s="3">
        <v>5583.9</v>
      </c>
      <c r="C64" s="3">
        <v>1116.4100000000001</v>
      </c>
      <c r="D64" s="3">
        <v>3489.5</v>
      </c>
      <c r="E64" s="17">
        <v>1505182</v>
      </c>
      <c r="F64">
        <f t="shared" si="17"/>
        <v>1505182</v>
      </c>
      <c r="G64">
        <f t="shared" si="15"/>
        <v>1.4220736058513874</v>
      </c>
      <c r="H64">
        <f t="shared" si="16"/>
        <v>1.0034546666666666</v>
      </c>
      <c r="I64" s="6">
        <f t="shared" si="4"/>
        <v>1.2232351233194914</v>
      </c>
      <c r="J64" s="10">
        <f t="shared" si="5"/>
        <v>1.447757107058101</v>
      </c>
      <c r="V64" s="13">
        <f t="shared" si="6"/>
        <v>1.7371371263818315E-4</v>
      </c>
      <c r="W64" s="6">
        <f t="shared" si="11"/>
        <v>1.0584102121869814E-2</v>
      </c>
      <c r="X64" s="6">
        <f t="shared" si="12"/>
        <v>3.4270563681801453E-2</v>
      </c>
      <c r="Y64" s="10">
        <f t="shared" si="13"/>
        <v>1.7051153460381349E-3</v>
      </c>
    </row>
    <row r="65" spans="1:25" x14ac:dyDescent="0.4">
      <c r="A65" s="2">
        <v>46087</v>
      </c>
      <c r="B65" s="3">
        <v>5584.87</v>
      </c>
      <c r="C65" s="3">
        <v>1154.67</v>
      </c>
      <c r="D65" s="3">
        <v>3495.45</v>
      </c>
      <c r="E65" s="17">
        <v>1521113</v>
      </c>
      <c r="F65">
        <f t="shared" si="17"/>
        <v>1521113</v>
      </c>
      <c r="G65">
        <f t="shared" si="15"/>
        <v>1.4223206395371046</v>
      </c>
      <c r="H65">
        <f t="shared" si="16"/>
        <v>1.0140753333333334</v>
      </c>
      <c r="I65" s="6">
        <f t="shared" si="4"/>
        <v>1.2651560805110282</v>
      </c>
      <c r="J65" s="10">
        <f t="shared" si="5"/>
        <v>1.4502256999186816</v>
      </c>
      <c r="V65" s="13">
        <f t="shared" si="6"/>
        <v>-5.9625380716113313E-2</v>
      </c>
      <c r="W65" s="6">
        <f t="shared" si="11"/>
        <v>-2.3166589201459878E-2</v>
      </c>
      <c r="X65" s="6">
        <f t="shared" si="12"/>
        <v>-4.5372270865268932E-2</v>
      </c>
      <c r="Y65" s="10">
        <f t="shared" si="13"/>
        <v>-6.1434150109427973E-2</v>
      </c>
    </row>
    <row r="66" spans="1:25" x14ac:dyDescent="0.4">
      <c r="A66" s="2">
        <v>46090</v>
      </c>
      <c r="B66" s="3">
        <v>5251.87</v>
      </c>
      <c r="C66" s="3">
        <v>1102.28</v>
      </c>
      <c r="D66" s="3">
        <v>3280.71</v>
      </c>
      <c r="E66" s="17">
        <v>1485874</v>
      </c>
      <c r="F66">
        <f t="shared" si="17"/>
        <v>1485874</v>
      </c>
      <c r="G66">
        <f t="shared" si="15"/>
        <v>1.337514229904319</v>
      </c>
      <c r="H66">
        <f t="shared" si="16"/>
        <v>0.99058266666666661</v>
      </c>
      <c r="I66" s="6">
        <f t="shared" si="4"/>
        <v>1.2077530761392399</v>
      </c>
      <c r="J66" s="10">
        <f t="shared" si="5"/>
        <v>1.361132316577327</v>
      </c>
      <c r="V66" s="13">
        <f t="shared" si="6"/>
        <v>5.3451437297572159E-2</v>
      </c>
      <c r="W66" s="6">
        <f t="shared" si="11"/>
        <v>1.2705653373031617E-2</v>
      </c>
      <c r="X66" s="6">
        <f t="shared" si="12"/>
        <v>3.2115252023079521E-2</v>
      </c>
      <c r="Y66" s="10">
        <f t="shared" si="13"/>
        <v>5.691146123857329E-2</v>
      </c>
    </row>
    <row r="67" spans="1:25" x14ac:dyDescent="0.4">
      <c r="A67" s="2">
        <v>46091</v>
      </c>
      <c r="B67" s="3">
        <v>5532.59</v>
      </c>
      <c r="C67" s="3">
        <v>1137.68</v>
      </c>
      <c r="D67" s="3">
        <v>3467.42</v>
      </c>
      <c r="E67" s="17">
        <v>1504753</v>
      </c>
      <c r="F67">
        <f t="shared" si="17"/>
        <v>1504753</v>
      </c>
      <c r="G67">
        <f t="shared" ref="G67:G103" si="18">B67/B$2</f>
        <v>1.4090062878986602</v>
      </c>
      <c r="H67">
        <f t="shared" ref="H67:H82" si="19">F67/F$2</f>
        <v>1.0031686666666666</v>
      </c>
      <c r="I67" s="6">
        <f t="shared" ref="I67:I103" si="20">C67/C$2</f>
        <v>1.2465403705611011</v>
      </c>
      <c r="J67" s="10">
        <f t="shared" ref="J67:J103" si="21">D67/D$2</f>
        <v>1.438596345652787</v>
      </c>
      <c r="V67" s="13">
        <f t="shared" ref="V67:V102" si="22">(G68-G67)/G67</f>
        <v>1.3982601277159473E-2</v>
      </c>
      <c r="W67" s="6">
        <f t="shared" si="11"/>
        <v>1.4823695317437513E-2</v>
      </c>
      <c r="X67" s="6">
        <f t="shared" si="12"/>
        <v>-7.4713451937282903E-4</v>
      </c>
      <c r="Y67" s="10">
        <f t="shared" si="13"/>
        <v>1.1605170414890556E-2</v>
      </c>
    </row>
    <row r="68" spans="1:25" x14ac:dyDescent="0.4">
      <c r="A68" s="2">
        <v>46092</v>
      </c>
      <c r="B68" s="3">
        <v>5609.95</v>
      </c>
      <c r="C68" s="3">
        <v>1136.83</v>
      </c>
      <c r="D68" s="3">
        <v>3507.66</v>
      </c>
      <c r="E68" s="17">
        <v>1527059</v>
      </c>
      <c r="F68">
        <f t="shared" si="17"/>
        <v>1527059</v>
      </c>
      <c r="G68">
        <f t="shared" si="18"/>
        <v>1.4287078610193578</v>
      </c>
      <c r="H68">
        <f t="shared" si="19"/>
        <v>1.0180393333333333</v>
      </c>
      <c r="I68" s="6">
        <f t="shared" si="20"/>
        <v>1.2456090372204631</v>
      </c>
      <c r="J68" s="10">
        <f t="shared" si="21"/>
        <v>1.4552915014023264</v>
      </c>
      <c r="V68" s="13">
        <f t="shared" si="22"/>
        <v>-4.7594007076712155E-3</v>
      </c>
      <c r="W68" s="6">
        <f t="shared" si="11"/>
        <v>1.2294220459065405E-2</v>
      </c>
      <c r="X68" s="6">
        <f t="shared" si="12"/>
        <v>1.0177423185524729E-2</v>
      </c>
      <c r="Y68" s="10">
        <f t="shared" si="13"/>
        <v>-5.2798731918143587E-3</v>
      </c>
    </row>
    <row r="69" spans="1:25" x14ac:dyDescent="0.4">
      <c r="A69" s="2">
        <v>46093</v>
      </c>
      <c r="B69" s="3">
        <v>5583.25</v>
      </c>
      <c r="C69" s="3">
        <v>1148.4000000000001</v>
      </c>
      <c r="D69" s="3">
        <v>3489.14</v>
      </c>
      <c r="E69" s="17">
        <v>1545833</v>
      </c>
      <c r="F69">
        <f t="shared" si="17"/>
        <v>1545833</v>
      </c>
      <c r="G69">
        <f t="shared" si="18"/>
        <v>1.4219080678145668</v>
      </c>
      <c r="H69">
        <f t="shared" si="19"/>
        <v>1.0305553333333333</v>
      </c>
      <c r="I69" s="6">
        <f t="shared" si="20"/>
        <v>1.2582861275159698</v>
      </c>
      <c r="J69" s="10">
        <f t="shared" si="21"/>
        <v>1.447607746817797</v>
      </c>
      <c r="V69" s="13">
        <f t="shared" si="22"/>
        <v>-1.7196077553396312E-2</v>
      </c>
      <c r="W69" s="6">
        <f t="shared" si="11"/>
        <v>4.5502974771530853E-3</v>
      </c>
      <c r="X69" s="6">
        <f t="shared" si="12"/>
        <v>3.970741901776406E-3</v>
      </c>
      <c r="Y69" s="10">
        <f t="shared" si="13"/>
        <v>-1.4556595608086871E-2</v>
      </c>
    </row>
    <row r="70" spans="1:25" x14ac:dyDescent="0.4">
      <c r="A70" s="2">
        <v>46094</v>
      </c>
      <c r="B70" s="3">
        <v>5487.24</v>
      </c>
      <c r="C70" s="3">
        <v>1152.96</v>
      </c>
      <c r="D70" s="3">
        <v>3438.35</v>
      </c>
      <c r="E70" s="17">
        <v>1552867</v>
      </c>
      <c r="F70">
        <f t="shared" si="17"/>
        <v>1552867</v>
      </c>
      <c r="G70">
        <f t="shared" si="18"/>
        <v>1.3974568264066276</v>
      </c>
      <c r="H70">
        <f t="shared" si="19"/>
        <v>1.0352446666666666</v>
      </c>
      <c r="I70" s="6">
        <f t="shared" si="20"/>
        <v>1.2632824569669214</v>
      </c>
      <c r="J70" s="10">
        <f t="shared" si="21"/>
        <v>1.4265355062482366</v>
      </c>
      <c r="V70" s="13">
        <f t="shared" si="22"/>
        <v>1.1410107813764284E-2</v>
      </c>
      <c r="W70" s="6">
        <f t="shared" si="11"/>
        <v>-4.1278486824692826E-4</v>
      </c>
      <c r="X70" s="6">
        <f t="shared" si="12"/>
        <v>-1.2723771856786156E-2</v>
      </c>
      <c r="Y70" s="10">
        <f t="shared" si="13"/>
        <v>1.2904445446216913E-2</v>
      </c>
    </row>
    <row r="71" spans="1:25" x14ac:dyDescent="0.4">
      <c r="A71" s="2">
        <v>46097</v>
      </c>
      <c r="B71" s="3">
        <v>5549.85</v>
      </c>
      <c r="C71" s="3">
        <v>1138.29</v>
      </c>
      <c r="D71" s="3">
        <v>3482.72</v>
      </c>
      <c r="E71" s="17">
        <v>1552226</v>
      </c>
      <c r="F71">
        <f t="shared" si="17"/>
        <v>1552226</v>
      </c>
      <c r="G71">
        <f t="shared" si="18"/>
        <v>1.4134019594610081</v>
      </c>
      <c r="H71">
        <f t="shared" si="19"/>
        <v>1.0348173333333333</v>
      </c>
      <c r="I71" s="6">
        <f t="shared" si="20"/>
        <v>1.247208739193794</v>
      </c>
      <c r="J71" s="10">
        <f t="shared" si="21"/>
        <v>1.4449441558657083</v>
      </c>
      <c r="V71" s="13">
        <f t="shared" si="22"/>
        <v>1.6330171085704986E-2</v>
      </c>
      <c r="W71" s="6">
        <f t="shared" si="11"/>
        <v>4.3067182227331351E-3</v>
      </c>
      <c r="X71" s="6">
        <f t="shared" si="12"/>
        <v>-1.1859895105815958E-3</v>
      </c>
      <c r="Y71" s="10">
        <f t="shared" si="13"/>
        <v>1.4712638397574451E-2</v>
      </c>
    </row>
    <row r="72" spans="1:25" x14ac:dyDescent="0.4">
      <c r="A72" s="2">
        <v>46098</v>
      </c>
      <c r="B72" s="3">
        <v>5640.48</v>
      </c>
      <c r="C72" s="3">
        <v>1136.94</v>
      </c>
      <c r="D72" s="3">
        <v>3533.96</v>
      </c>
      <c r="E72" s="17">
        <v>1558911</v>
      </c>
      <c r="F72">
        <f t="shared" si="17"/>
        <v>1558911</v>
      </c>
      <c r="G72">
        <f t="shared" si="18"/>
        <v>1.436483055271877</v>
      </c>
      <c r="H72">
        <f t="shared" si="19"/>
        <v>1.039274</v>
      </c>
      <c r="I72" s="6">
        <f t="shared" si="20"/>
        <v>1.2457295627116045</v>
      </c>
      <c r="J72" s="10">
        <f t="shared" si="21"/>
        <v>1.466203096735649</v>
      </c>
      <c r="V72" s="13">
        <f t="shared" si="22"/>
        <v>5.0447834226874273E-2</v>
      </c>
      <c r="W72" s="6">
        <f t="shared" si="11"/>
        <v>7.7676018707930885E-3</v>
      </c>
      <c r="X72" s="6">
        <f t="shared" si="12"/>
        <v>2.4134958748922682E-2</v>
      </c>
      <c r="Y72" s="10">
        <f t="shared" si="13"/>
        <v>5.1930412341961871E-2</v>
      </c>
    </row>
    <row r="73" spans="1:25" x14ac:dyDescent="0.4">
      <c r="A73" s="2">
        <v>46099</v>
      </c>
      <c r="B73" s="3">
        <v>5925.03</v>
      </c>
      <c r="C73" s="3">
        <v>1164.3800000000001</v>
      </c>
      <c r="D73" s="3">
        <v>3717.48</v>
      </c>
      <c r="E73" s="17">
        <v>1571020</v>
      </c>
      <c r="F73">
        <f t="shared" si="17"/>
        <v>1571020</v>
      </c>
      <c r="G73">
        <f t="shared" si="18"/>
        <v>1.5089505143139466</v>
      </c>
      <c r="H73">
        <f t="shared" si="19"/>
        <v>1.0473466666666666</v>
      </c>
      <c r="I73" s="6">
        <f t="shared" si="20"/>
        <v>1.2757951943199626</v>
      </c>
      <c r="J73" s="10">
        <f t="shared" si="21"/>
        <v>1.5423436281261926</v>
      </c>
      <c r="V73" s="13">
        <f t="shared" si="22"/>
        <v>-2.7309566365064722E-2</v>
      </c>
      <c r="W73" s="6">
        <f t="shared" si="11"/>
        <v>-2.1641990553964629E-5</v>
      </c>
      <c r="X73" s="6">
        <f t="shared" si="12"/>
        <v>-1.7949466668956995E-2</v>
      </c>
      <c r="Y73" s="10">
        <f t="shared" si="13"/>
        <v>-2.7376071962727469E-2</v>
      </c>
    </row>
    <row r="74" spans="1:25" x14ac:dyDescent="0.4">
      <c r="A74" s="2">
        <v>46100</v>
      </c>
      <c r="B74" s="3">
        <v>5763.22</v>
      </c>
      <c r="C74" s="3">
        <v>1143.48</v>
      </c>
      <c r="D74" s="3">
        <v>3615.71</v>
      </c>
      <c r="E74" s="17">
        <v>1570986</v>
      </c>
      <c r="F74">
        <f t="shared" si="17"/>
        <v>1570986</v>
      </c>
      <c r="G74">
        <f t="shared" si="18"/>
        <v>1.4677417301016913</v>
      </c>
      <c r="H74">
        <f t="shared" si="19"/>
        <v>1.0473239999999999</v>
      </c>
      <c r="I74" s="6">
        <f t="shared" si="20"/>
        <v>1.2528953510031009</v>
      </c>
      <c r="J74" s="10">
        <f t="shared" si="21"/>
        <v>1.5001203179713558</v>
      </c>
      <c r="V74" s="13">
        <f t="shared" si="22"/>
        <v>3.1197837320109203E-3</v>
      </c>
      <c r="W74" s="6">
        <f t="shared" si="11"/>
        <v>5.8523755144859009E-3</v>
      </c>
      <c r="X74" s="6">
        <f t="shared" si="12"/>
        <v>1.5776401860985657E-2</v>
      </c>
      <c r="Y74" s="10">
        <f t="shared" si="13"/>
        <v>2.7850684927718766E-3</v>
      </c>
    </row>
    <row r="75" spans="1:25" x14ac:dyDescent="0.4">
      <c r="A75" s="2">
        <v>46101</v>
      </c>
      <c r="B75" s="3">
        <v>5781.2</v>
      </c>
      <c r="C75" s="3">
        <v>1161.52</v>
      </c>
      <c r="D75" s="3">
        <v>3625.78</v>
      </c>
      <c r="E75" s="17">
        <v>1580180</v>
      </c>
      <c r="F75">
        <f t="shared" si="17"/>
        <v>1580180</v>
      </c>
      <c r="G75">
        <f t="shared" si="18"/>
        <v>1.4723207668740561</v>
      </c>
      <c r="H75">
        <f t="shared" si="19"/>
        <v>1.0534533333333334</v>
      </c>
      <c r="I75" s="6">
        <f t="shared" si="20"/>
        <v>1.2726615315502865</v>
      </c>
      <c r="J75" s="10">
        <f t="shared" si="21"/>
        <v>1.5042982558043048</v>
      </c>
      <c r="V75" s="13">
        <f t="shared" si="22"/>
        <v>-6.4943264374178425E-2</v>
      </c>
      <c r="W75" s="6">
        <f t="shared" si="11"/>
        <v>-1.1239858750268903E-2</v>
      </c>
      <c r="X75" s="6">
        <f t="shared" si="12"/>
        <v>-5.5642606240099021E-2</v>
      </c>
      <c r="Y75" s="10">
        <f t="shared" si="13"/>
        <v>-6.4554385539111664E-2</v>
      </c>
    </row>
    <row r="76" spans="1:25" x14ac:dyDescent="0.4">
      <c r="A76" s="2">
        <v>46104</v>
      </c>
      <c r="B76" s="3">
        <v>5405.75</v>
      </c>
      <c r="C76" s="3">
        <v>1096.8900000000001</v>
      </c>
      <c r="D76" s="3">
        <v>3391.72</v>
      </c>
      <c r="E76" s="17">
        <v>1562419</v>
      </c>
      <c r="F76">
        <f t="shared" si="17"/>
        <v>1562419</v>
      </c>
      <c r="G76">
        <f t="shared" si="18"/>
        <v>1.3767034500673612</v>
      </c>
      <c r="H76">
        <f t="shared" si="19"/>
        <v>1.0416126666666667</v>
      </c>
      <c r="I76" s="6">
        <f t="shared" si="20"/>
        <v>1.2018473270733125</v>
      </c>
      <c r="J76" s="10">
        <f t="shared" si="21"/>
        <v>1.4071892062333005</v>
      </c>
      <c r="V76" s="13">
        <f t="shared" si="22"/>
        <v>2.7409702631457256E-2</v>
      </c>
      <c r="W76" s="6">
        <f t="shared" si="11"/>
        <v>4.7816878826997004E-3</v>
      </c>
      <c r="X76" s="6">
        <f t="shared" si="12"/>
        <v>2.2381460310514165E-2</v>
      </c>
      <c r="Y76" s="10">
        <f t="shared" si="13"/>
        <v>2.7062965103251534E-2</v>
      </c>
    </row>
    <row r="77" spans="1:25" x14ac:dyDescent="0.4">
      <c r="A77" s="2">
        <v>46105</v>
      </c>
      <c r="B77" s="3">
        <v>5553.92</v>
      </c>
      <c r="C77" s="3">
        <v>1121.44</v>
      </c>
      <c r="D77" s="3">
        <v>3483.51</v>
      </c>
      <c r="E77" s="17">
        <v>1569890</v>
      </c>
      <c r="F77">
        <f t="shared" si="17"/>
        <v>1569890</v>
      </c>
      <c r="G77">
        <f t="shared" si="18"/>
        <v>1.4144384822454088</v>
      </c>
      <c r="H77">
        <f t="shared" si="19"/>
        <v>1.0465933333333333</v>
      </c>
      <c r="I77" s="6">
        <f t="shared" si="20"/>
        <v>1.2287464253235014</v>
      </c>
      <c r="J77" s="10">
        <f t="shared" si="21"/>
        <v>1.4452719186152645</v>
      </c>
      <c r="V77" s="13">
        <f t="shared" si="22"/>
        <v>1.589688004148429E-2</v>
      </c>
      <c r="W77" s="6">
        <f t="shared" si="11"/>
        <v>9.1687952659105041E-3</v>
      </c>
      <c r="X77" s="6">
        <f t="shared" si="12"/>
        <v>3.398309316592947E-2</v>
      </c>
      <c r="Y77" s="10">
        <f t="shared" si="13"/>
        <v>1.60068436720434E-2</v>
      </c>
    </row>
    <row r="78" spans="1:25" x14ac:dyDescent="0.4">
      <c r="A78" s="2">
        <v>46106</v>
      </c>
      <c r="B78" s="3">
        <v>5642.21</v>
      </c>
      <c r="C78" s="3">
        <v>1159.55</v>
      </c>
      <c r="D78" s="3">
        <v>3539.27</v>
      </c>
      <c r="E78" s="17">
        <v>1584284</v>
      </c>
      <c r="F78">
        <f t="shared" si="17"/>
        <v>1584284</v>
      </c>
      <c r="G78">
        <f t="shared" si="18"/>
        <v>1.4369236411237232</v>
      </c>
      <c r="H78">
        <f t="shared" si="19"/>
        <v>1.0561893333333334</v>
      </c>
      <c r="I78" s="6">
        <f t="shared" si="20"/>
        <v>1.2705030295725728</v>
      </c>
      <c r="J78" s="10">
        <f t="shared" si="21"/>
        <v>1.4684061602801333</v>
      </c>
      <c r="V78" s="13">
        <f t="shared" si="22"/>
        <v>-3.2212555009473232E-2</v>
      </c>
      <c r="W78" s="6">
        <f t="shared" si="11"/>
        <v>1.5426527062066464E-3</v>
      </c>
      <c r="X78" s="6">
        <f t="shared" si="12"/>
        <v>-1.9757664611271555E-2</v>
      </c>
      <c r="Y78" s="10">
        <f t="shared" si="13"/>
        <v>-3.3165031207000324E-2</v>
      </c>
    </row>
    <row r="79" spans="1:25" x14ac:dyDescent="0.4">
      <c r="A79" s="2">
        <v>46107</v>
      </c>
      <c r="B79" s="3">
        <v>5460.46</v>
      </c>
      <c r="C79" s="3">
        <v>1136.6400000000001</v>
      </c>
      <c r="D79" s="3">
        <v>3421.89</v>
      </c>
      <c r="E79" s="17">
        <v>1586728</v>
      </c>
      <c r="F79">
        <f t="shared" si="17"/>
        <v>1586728</v>
      </c>
      <c r="G79">
        <f t="shared" si="18"/>
        <v>1.3906366592896127</v>
      </c>
      <c r="H79">
        <f t="shared" si="19"/>
        <v>1.0578186666666667</v>
      </c>
      <c r="I79" s="6">
        <f t="shared" si="20"/>
        <v>1.2454008568266735</v>
      </c>
      <c r="J79" s="10">
        <f t="shared" si="21"/>
        <v>1.4197064241498911</v>
      </c>
      <c r="V79" s="13">
        <f t="shared" si="22"/>
        <v>-3.9538793434986579E-3</v>
      </c>
      <c r="W79" s="6">
        <f t="shared" si="11"/>
        <v>4.7462451031303685E-3</v>
      </c>
      <c r="X79" s="6">
        <f t="shared" si="12"/>
        <v>4.2845579954955432E-3</v>
      </c>
      <c r="Y79" s="10">
        <f t="shared" si="13"/>
        <v>-3.3256475222755459E-3</v>
      </c>
    </row>
    <row r="80" spans="1:25" x14ac:dyDescent="0.4">
      <c r="A80" s="2">
        <v>46108</v>
      </c>
      <c r="B80" s="3">
        <v>5438.87</v>
      </c>
      <c r="C80" s="3">
        <v>1141.51</v>
      </c>
      <c r="D80" s="3">
        <v>3410.51</v>
      </c>
      <c r="E80" s="17">
        <v>1594259</v>
      </c>
      <c r="F80">
        <f t="shared" si="17"/>
        <v>1594259</v>
      </c>
      <c r="G80">
        <f t="shared" si="18"/>
        <v>1.3851382497281355</v>
      </c>
      <c r="H80">
        <f t="shared" si="19"/>
        <v>1.0628393333333332</v>
      </c>
      <c r="I80" s="6">
        <f t="shared" si="20"/>
        <v>1.2507368490253872</v>
      </c>
      <c r="J80" s="10">
        <f t="shared" si="21"/>
        <v>1.4149849809980584</v>
      </c>
      <c r="V80" s="13">
        <f t="shared" si="22"/>
        <v>-2.9706538306670294E-2</v>
      </c>
      <c r="W80" s="6">
        <f t="shared" si="11"/>
        <v>-8.9420853198883855E-3</v>
      </c>
      <c r="X80" s="6">
        <f t="shared" si="12"/>
        <v>-3.0188084204255772E-2</v>
      </c>
      <c r="Y80" s="10">
        <f t="shared" si="13"/>
        <v>-3.0602461215478115E-2</v>
      </c>
    </row>
    <row r="81" spans="1:25" x14ac:dyDescent="0.4">
      <c r="A81" s="2">
        <v>46111</v>
      </c>
      <c r="B81" s="3">
        <v>5277.3</v>
      </c>
      <c r="C81" s="3">
        <v>1107.05</v>
      </c>
      <c r="D81" s="3">
        <v>3306.14</v>
      </c>
      <c r="E81" s="17">
        <v>1580003</v>
      </c>
      <c r="F81">
        <f t="shared" si="17"/>
        <v>1580003</v>
      </c>
      <c r="G81">
        <f t="shared" si="18"/>
        <v>1.3439905872525524</v>
      </c>
      <c r="H81">
        <f t="shared" si="19"/>
        <v>1.0533353333333333</v>
      </c>
      <c r="I81" s="6">
        <f t="shared" si="20"/>
        <v>1.2129794997096432</v>
      </c>
      <c r="J81" s="10">
        <f t="shared" si="21"/>
        <v>1.3716829579965812</v>
      </c>
      <c r="V81" s="13">
        <f t="shared" si="22"/>
        <v>-4.2605120042445883E-2</v>
      </c>
      <c r="W81" s="6">
        <f t="shared" si="11"/>
        <v>-1.499680696808805E-2</v>
      </c>
      <c r="X81" s="6">
        <f t="shared" si="12"/>
        <v>-4.9374463664694355E-2</v>
      </c>
      <c r="Y81" s="10">
        <f t="shared" si="13"/>
        <v>-4.5497165879242983E-2</v>
      </c>
    </row>
    <row r="82" spans="1:25" x14ac:dyDescent="0.4">
      <c r="A82" s="4">
        <v>46112</v>
      </c>
      <c r="B82" s="5">
        <v>5052.46</v>
      </c>
      <c r="C82" s="5">
        <v>1052.3900000000001</v>
      </c>
      <c r="D82" s="5">
        <v>3155.72</v>
      </c>
      <c r="E82" s="19">
        <v>1556308</v>
      </c>
      <c r="F82" s="1">
        <f t="shared" si="17"/>
        <v>1556308</v>
      </c>
      <c r="G82" s="1">
        <f t="shared" si="18"/>
        <v>1.28672970694674</v>
      </c>
      <c r="H82" s="1">
        <f t="shared" si="19"/>
        <v>1.0375386666666666</v>
      </c>
      <c r="I82" s="8">
        <f t="shared" si="20"/>
        <v>1.1530892874752103</v>
      </c>
      <c r="J82" s="11">
        <f t="shared" si="21"/>
        <v>1.3092752709228801</v>
      </c>
      <c r="V82" s="13">
        <f t="shared" si="22"/>
        <v>8.4362864822284514E-2</v>
      </c>
      <c r="W82" s="6">
        <f t="shared" ref="W82:W102" si="23">(H83-H82)/H82</f>
        <v>9.8382500000000865E-3</v>
      </c>
      <c r="X82" s="6">
        <f t="shared" ref="X82:X102" si="24">(I83-I82)/I82</f>
        <v>6.0614411007326112E-2</v>
      </c>
      <c r="Y82" s="10">
        <f t="shared" ref="Y82:Y102" si="25">(J83-J82)/J82</f>
        <v>8.7678881523075597E-2</v>
      </c>
    </row>
    <row r="83" spans="1:25" x14ac:dyDescent="0.4">
      <c r="A83" s="2">
        <v>46113</v>
      </c>
      <c r="B83" s="3">
        <v>5478.7</v>
      </c>
      <c r="C83" s="3">
        <v>1116.18</v>
      </c>
      <c r="D83" s="3">
        <v>3432.41</v>
      </c>
      <c r="E83" s="17">
        <v>4039353</v>
      </c>
      <c r="F83">
        <v>4039353</v>
      </c>
      <c r="G83">
        <f t="shared" si="18"/>
        <v>1.3952819112767056</v>
      </c>
      <c r="H83">
        <f>H$82*F83/4000000</f>
        <v>1.047746231454</v>
      </c>
      <c r="I83" s="6">
        <f t="shared" si="20"/>
        <v>1.2229831154743775</v>
      </c>
      <c r="J83" s="10">
        <f t="shared" si="21"/>
        <v>1.42407106228322</v>
      </c>
      <c r="V83" s="13">
        <f t="shared" si="22"/>
        <v>-4.4654753864967901E-2</v>
      </c>
      <c r="W83" s="6">
        <f t="shared" si="23"/>
        <v>-2.3779798398406965E-2</v>
      </c>
      <c r="X83" s="6">
        <f t="shared" si="24"/>
        <v>-5.3611424680607221E-2</v>
      </c>
      <c r="Y83" s="10">
        <f t="shared" si="25"/>
        <v>-4.8345040365224426E-2</v>
      </c>
    </row>
    <row r="84" spans="1:25" x14ac:dyDescent="0.4">
      <c r="A84" s="2">
        <v>46114</v>
      </c>
      <c r="B84" s="3">
        <v>5234.05</v>
      </c>
      <c r="C84" s="3">
        <v>1056.3399999999999</v>
      </c>
      <c r="D84" s="3">
        <v>3266.47</v>
      </c>
      <c r="E84" s="17">
        <v>3943298</v>
      </c>
      <c r="F84">
        <v>3943298</v>
      </c>
      <c r="G84">
        <f t="shared" si="18"/>
        <v>1.3329759409564024</v>
      </c>
      <c r="H84">
        <f t="shared" ref="H84:H103" si="26">H$82*F84/4000000</f>
        <v>1.0228310372973333</v>
      </c>
      <c r="I84" s="6">
        <f t="shared" si="20"/>
        <v>1.1574172482934686</v>
      </c>
      <c r="J84" s="10">
        <f t="shared" si="21"/>
        <v>1.3552242892941897</v>
      </c>
      <c r="V84" s="13">
        <f t="shared" si="22"/>
        <v>2.736886349958445E-2</v>
      </c>
      <c r="W84" s="6">
        <f t="shared" si="23"/>
        <v>8.3884099046027324E-3</v>
      </c>
      <c r="X84" s="6">
        <f t="shared" si="24"/>
        <v>7.0147869057311961E-3</v>
      </c>
      <c r="Y84" s="10">
        <f t="shared" si="25"/>
        <v>2.7748609355053071E-2</v>
      </c>
    </row>
    <row r="85" spans="1:25" x14ac:dyDescent="0.4">
      <c r="A85" s="2">
        <v>46115</v>
      </c>
      <c r="B85" s="3">
        <v>5377.3</v>
      </c>
      <c r="C85" s="3">
        <v>1063.75</v>
      </c>
      <c r="D85" s="3">
        <v>3357.11</v>
      </c>
      <c r="E85" s="17">
        <v>3976376</v>
      </c>
      <c r="F85">
        <v>3976376</v>
      </c>
      <c r="G85">
        <f t="shared" si="18"/>
        <v>1.3694579775326683</v>
      </c>
      <c r="H85">
        <f t="shared" si="26"/>
        <v>1.0314109633013333</v>
      </c>
      <c r="I85" s="6">
        <f t="shared" si="20"/>
        <v>1.165536283651265</v>
      </c>
      <c r="J85" s="10">
        <f t="shared" si="21"/>
        <v>1.3928298786862936</v>
      </c>
      <c r="V85" s="13">
        <f t="shared" si="22"/>
        <v>1.358116526881511E-2</v>
      </c>
      <c r="W85" s="6">
        <f t="shared" si="23"/>
        <v>-8.8422221641011795E-4</v>
      </c>
      <c r="X85" s="6">
        <f t="shared" si="24"/>
        <v>-1.5398354876615864E-2</v>
      </c>
      <c r="Y85" s="10">
        <f t="shared" si="25"/>
        <v>1.2659698371515992E-2</v>
      </c>
    </row>
    <row r="86" spans="1:25" x14ac:dyDescent="0.4">
      <c r="A86" s="2">
        <v>46118</v>
      </c>
      <c r="B86" s="3">
        <v>5450.33</v>
      </c>
      <c r="C86" s="3">
        <v>1047.3699999999999</v>
      </c>
      <c r="D86" s="3">
        <v>3399.61</v>
      </c>
      <c r="E86" s="17">
        <v>3972860</v>
      </c>
      <c r="F86">
        <v>3972860</v>
      </c>
      <c r="G86">
        <f t="shared" si="18"/>
        <v>1.3880568126542367</v>
      </c>
      <c r="H86">
        <f t="shared" si="26"/>
        <v>1.0304989668133333</v>
      </c>
      <c r="I86" s="6">
        <f t="shared" si="20"/>
        <v>1.1475889423340309</v>
      </c>
      <c r="J86" s="10">
        <f t="shared" si="21"/>
        <v>1.4104626848332973</v>
      </c>
      <c r="V86" s="13">
        <f t="shared" si="22"/>
        <v>8.1554694853339278E-3</v>
      </c>
      <c r="W86" s="6">
        <f t="shared" si="23"/>
        <v>-2.0607320670752785E-3</v>
      </c>
      <c r="X86" s="6">
        <f t="shared" si="24"/>
        <v>-1.0158778655107354E-2</v>
      </c>
      <c r="Y86" s="10">
        <f t="shared" si="25"/>
        <v>8.4627354314171233E-3</v>
      </c>
    </row>
    <row r="87" spans="1:25" x14ac:dyDescent="0.4">
      <c r="A87" s="2">
        <v>46119</v>
      </c>
      <c r="B87" s="3">
        <v>5494.78</v>
      </c>
      <c r="C87" s="3">
        <v>1036.73</v>
      </c>
      <c r="D87" s="3">
        <v>3428.38</v>
      </c>
      <c r="E87" s="17">
        <v>3964673</v>
      </c>
      <c r="F87">
        <v>3964673</v>
      </c>
      <c r="G87">
        <f t="shared" si="18"/>
        <v>1.3993770676337483</v>
      </c>
      <c r="H87">
        <f t="shared" si="26"/>
        <v>1.0283753845473331</v>
      </c>
      <c r="I87" s="6">
        <f t="shared" si="20"/>
        <v>1.1359308402818107</v>
      </c>
      <c r="J87" s="10">
        <f t="shared" si="21"/>
        <v>1.4223990573709278</v>
      </c>
      <c r="V87" s="13">
        <f t="shared" si="22"/>
        <v>6.8712487124143379E-2</v>
      </c>
      <c r="W87" s="6">
        <f t="shared" si="23"/>
        <v>2.0173164344196928E-2</v>
      </c>
      <c r="X87" s="6">
        <f t="shared" si="24"/>
        <v>5.1238027258784576E-2</v>
      </c>
      <c r="Y87" s="10">
        <f t="shared" si="25"/>
        <v>7.1331065984517383E-2</v>
      </c>
    </row>
    <row r="88" spans="1:25" x14ac:dyDescent="0.4">
      <c r="A88" s="2">
        <v>46120</v>
      </c>
      <c r="B88" s="3">
        <v>5872.34</v>
      </c>
      <c r="C88" s="3">
        <v>1089.8499999999999</v>
      </c>
      <c r="D88" s="3">
        <v>3672.93</v>
      </c>
      <c r="E88" s="17">
        <v>4044653</v>
      </c>
      <c r="F88">
        <v>4044653</v>
      </c>
      <c r="G88">
        <f t="shared" si="18"/>
        <v>1.4955317463753537</v>
      </c>
      <c r="H88">
        <f t="shared" si="26"/>
        <v>1.0491209701873332</v>
      </c>
      <c r="I88" s="6">
        <f t="shared" si="20"/>
        <v>1.1941336956402642</v>
      </c>
      <c r="J88" s="10">
        <f t="shared" si="21"/>
        <v>1.5238602983885687</v>
      </c>
      <c r="V88" s="13">
        <f t="shared" si="22"/>
        <v>-1.6063443193003207E-2</v>
      </c>
      <c r="W88" s="6">
        <f t="shared" si="23"/>
        <v>1.4448705488455985E-3</v>
      </c>
      <c r="X88" s="6">
        <f t="shared" si="24"/>
        <v>-1.270817084919933E-2</v>
      </c>
      <c r="Y88" s="10">
        <f t="shared" si="25"/>
        <v>-1.8110881503322948E-2</v>
      </c>
    </row>
    <row r="89" spans="1:25" x14ac:dyDescent="0.4">
      <c r="A89" s="2">
        <v>46121</v>
      </c>
      <c r="B89" s="3">
        <v>5778.01</v>
      </c>
      <c r="C89" s="3">
        <v>1076</v>
      </c>
      <c r="D89" s="3">
        <v>3606.41</v>
      </c>
      <c r="E89" s="17">
        <v>4050497</v>
      </c>
      <c r="F89">
        <v>4050497</v>
      </c>
      <c r="G89">
        <f t="shared" si="18"/>
        <v>1.4715083571241203</v>
      </c>
      <c r="H89">
        <f t="shared" si="26"/>
        <v>1.0506368141793332</v>
      </c>
      <c r="I89" s="6">
        <f t="shared" si="20"/>
        <v>1.1789584406192819</v>
      </c>
      <c r="J89" s="10">
        <f t="shared" si="21"/>
        <v>1.496261845096835</v>
      </c>
      <c r="V89" s="13">
        <f t="shared" si="22"/>
        <v>1.3994437531260718E-2</v>
      </c>
      <c r="W89" s="6">
        <f t="shared" si="23"/>
        <v>2.0225666134304057E-2</v>
      </c>
      <c r="X89" s="6">
        <f t="shared" si="24"/>
        <v>1.6384758364312496E-2</v>
      </c>
      <c r="Y89" s="10">
        <f t="shared" si="25"/>
        <v>1.5272805920569224E-2</v>
      </c>
    </row>
    <row r="90" spans="1:25" x14ac:dyDescent="0.4">
      <c r="A90" s="2">
        <v>46122</v>
      </c>
      <c r="B90" s="3">
        <v>5858.87</v>
      </c>
      <c r="C90" s="3">
        <v>1093.6300000000001</v>
      </c>
      <c r="D90" s="3">
        <v>3661.49</v>
      </c>
      <c r="E90" s="17">
        <v>4132421</v>
      </c>
      <c r="F90">
        <v>4132421</v>
      </c>
      <c r="G90">
        <f t="shared" si="18"/>
        <v>1.4921012889046219</v>
      </c>
      <c r="H90">
        <f t="shared" si="26"/>
        <v>1.0718866436113332</v>
      </c>
      <c r="I90" s="6">
        <f t="shared" si="20"/>
        <v>1.1982753897903955</v>
      </c>
      <c r="J90" s="10">
        <f t="shared" si="21"/>
        <v>1.5191139618633518</v>
      </c>
      <c r="V90" s="13">
        <f t="shared" si="22"/>
        <v>-8.5767392005625092E-3</v>
      </c>
      <c r="W90" s="6">
        <f t="shared" si="23"/>
        <v>5.9154185887643753E-3</v>
      </c>
      <c r="X90" s="6">
        <f t="shared" si="24"/>
        <v>5.6783372804328465E-3</v>
      </c>
      <c r="Y90" s="10">
        <f t="shared" si="25"/>
        <v>-7.2839199342342705E-3</v>
      </c>
    </row>
    <row r="91" spans="1:25" x14ac:dyDescent="0.4">
      <c r="A91" s="2">
        <v>46125</v>
      </c>
      <c r="B91" s="3">
        <v>5808.62</v>
      </c>
      <c r="C91" s="3">
        <v>1099.8399999999999</v>
      </c>
      <c r="D91" s="3">
        <v>3634.82</v>
      </c>
      <c r="E91" s="17">
        <v>4156866</v>
      </c>
      <c r="F91">
        <v>4156866</v>
      </c>
      <c r="G91">
        <f t="shared" si="18"/>
        <v>1.4793039252888638</v>
      </c>
      <c r="H91">
        <f t="shared" si="26"/>
        <v>1.078227301788</v>
      </c>
      <c r="I91" s="6">
        <f t="shared" si="20"/>
        <v>1.2050796016084675</v>
      </c>
      <c r="J91" s="10">
        <f t="shared" si="21"/>
        <v>1.5080488573941617</v>
      </c>
      <c r="V91" s="13">
        <f t="shared" si="22"/>
        <v>2.7395491528108253E-2</v>
      </c>
      <c r="W91" s="6">
        <f t="shared" si="23"/>
        <v>1.1519014565299971E-2</v>
      </c>
      <c r="X91" s="6">
        <f t="shared" si="24"/>
        <v>2.0039278440500484E-2</v>
      </c>
      <c r="Y91" s="10">
        <f t="shared" si="25"/>
        <v>2.8375545419030319E-2</v>
      </c>
    </row>
    <row r="92" spans="1:25" x14ac:dyDescent="0.4">
      <c r="A92" s="2">
        <v>46126</v>
      </c>
      <c r="B92" s="3">
        <v>5967.75</v>
      </c>
      <c r="C92" s="3">
        <v>1121.8800000000001</v>
      </c>
      <c r="D92" s="3">
        <v>3737.96</v>
      </c>
      <c r="E92" s="17">
        <v>4204749</v>
      </c>
      <c r="F92">
        <v>4204749</v>
      </c>
      <c r="G92">
        <f t="shared" si="18"/>
        <v>1.5198301834416121</v>
      </c>
      <c r="H92">
        <f t="shared" si="26"/>
        <v>1.090647417782</v>
      </c>
      <c r="I92" s="6">
        <f t="shared" si="20"/>
        <v>1.229228527288067</v>
      </c>
      <c r="J92" s="10">
        <f t="shared" si="21"/>
        <v>1.5508405662412665</v>
      </c>
      <c r="V92" s="13">
        <f t="shared" si="22"/>
        <v>2.0718026056721659E-2</v>
      </c>
      <c r="W92" s="6">
        <f t="shared" si="23"/>
        <v>2.4201920257309106E-2</v>
      </c>
      <c r="X92" s="6">
        <f t="shared" si="24"/>
        <v>2.7231076407458948E-2</v>
      </c>
      <c r="Y92" s="10">
        <f t="shared" si="25"/>
        <v>2.2153795118192741E-2</v>
      </c>
    </row>
    <row r="93" spans="1:25" x14ac:dyDescent="0.4">
      <c r="A93" s="2">
        <v>46127</v>
      </c>
      <c r="B93" s="3">
        <v>6091.39</v>
      </c>
      <c r="C93" s="3">
        <v>1152.43</v>
      </c>
      <c r="D93" s="3">
        <v>3820.77</v>
      </c>
      <c r="E93" s="17">
        <v>4306512</v>
      </c>
      <c r="F93">
        <v>4306512</v>
      </c>
      <c r="G93">
        <f t="shared" si="18"/>
        <v>1.5513180647839475</v>
      </c>
      <c r="H93">
        <f t="shared" si="26"/>
        <v>1.1170431796160001</v>
      </c>
      <c r="I93" s="6">
        <f t="shared" si="20"/>
        <v>1.2627017432368766</v>
      </c>
      <c r="J93" s="10">
        <f t="shared" si="21"/>
        <v>1.5851975704067576</v>
      </c>
      <c r="V93" s="13">
        <f t="shared" si="22"/>
        <v>2.2106612776394148E-2</v>
      </c>
      <c r="W93" s="6">
        <f t="shared" si="23"/>
        <v>1.5049069873716726E-2</v>
      </c>
      <c r="X93" s="6">
        <f t="shared" si="24"/>
        <v>9.1458917244431163E-3</v>
      </c>
      <c r="Y93" s="10">
        <f t="shared" si="25"/>
        <v>2.1233939755599018E-2</v>
      </c>
    </row>
    <row r="94" spans="1:25" x14ac:dyDescent="0.4">
      <c r="A94" s="15">
        <v>46128</v>
      </c>
      <c r="B94" s="16">
        <v>6226.05</v>
      </c>
      <c r="C94" s="16">
        <v>1162.97</v>
      </c>
      <c r="D94" s="16">
        <v>3901.9</v>
      </c>
      <c r="E94" s="20">
        <v>4371321</v>
      </c>
      <c r="F94" s="20">
        <v>4371321</v>
      </c>
      <c r="G94">
        <f t="shared" si="18"/>
        <v>1.5856124525351514</v>
      </c>
      <c r="H94">
        <f t="shared" si="26"/>
        <v>1.133853640478</v>
      </c>
      <c r="I94" s="6">
        <f t="shared" si="20"/>
        <v>1.2742502766607866</v>
      </c>
      <c r="J94" s="10">
        <f t="shared" si="21"/>
        <v>1.6188575601174966</v>
      </c>
      <c r="V94" s="13">
        <f t="shared" si="22"/>
        <v>-5.4818062816713578E-3</v>
      </c>
      <c r="W94" s="6">
        <f t="shared" si="23"/>
        <v>4.5965510197032078E-3</v>
      </c>
      <c r="X94" s="6">
        <f t="shared" si="24"/>
        <v>6.0792625777103928E-3</v>
      </c>
      <c r="Y94" s="10">
        <f t="shared" si="25"/>
        <v>-5.1077680104565067E-3</v>
      </c>
    </row>
    <row r="95" spans="1:25" x14ac:dyDescent="0.4">
      <c r="A95" s="15">
        <v>46129</v>
      </c>
      <c r="B95" s="16">
        <v>6191.92</v>
      </c>
      <c r="C95" s="16">
        <v>1170.04</v>
      </c>
      <c r="D95" s="16">
        <v>3881.97</v>
      </c>
      <c r="E95" s="20">
        <v>4391414</v>
      </c>
      <c r="F95" s="20">
        <v>4391414</v>
      </c>
      <c r="G95">
        <f t="shared" si="18"/>
        <v>1.5769204322325479</v>
      </c>
      <c r="H95">
        <f t="shared" si="26"/>
        <v>1.1390654565853333</v>
      </c>
      <c r="I95" s="6">
        <f t="shared" si="20"/>
        <v>1.2819967786823276</v>
      </c>
      <c r="J95" s="10">
        <f t="shared" si="21"/>
        <v>1.6105888112584428</v>
      </c>
      <c r="V95" s="13">
        <f t="shared" si="22"/>
        <v>4.3879765888447751E-3</v>
      </c>
      <c r="W95" s="6">
        <f t="shared" si="23"/>
        <v>3.3294515160720221E-3</v>
      </c>
      <c r="X95" s="6">
        <f t="shared" si="24"/>
        <v>4.1109705651089269E-3</v>
      </c>
      <c r="Y95" s="10">
        <f t="shared" si="25"/>
        <v>4.7063733104583498E-3</v>
      </c>
    </row>
    <row r="96" spans="1:25" x14ac:dyDescent="0.4">
      <c r="A96" s="21">
        <v>46132</v>
      </c>
      <c r="B96" s="22">
        <v>6219.09</v>
      </c>
      <c r="C96" s="22">
        <v>1174.8499999999999</v>
      </c>
      <c r="D96" s="22">
        <v>3900.24</v>
      </c>
      <c r="E96" s="17">
        <v>4406035</v>
      </c>
      <c r="F96" s="17">
        <v>4406035</v>
      </c>
      <c r="G96">
        <f t="shared" si="18"/>
        <v>1.5838399221716553</v>
      </c>
      <c r="H96">
        <f t="shared" si="26"/>
        <v>1.1428579197966666</v>
      </c>
      <c r="I96" s="6">
        <f t="shared" si="20"/>
        <v>1.2872670297040552</v>
      </c>
      <c r="J96" s="10">
        <f t="shared" si="21"/>
        <v>1.6181688434538724</v>
      </c>
      <c r="V96" s="13">
        <f t="shared" si="22"/>
        <v>2.7235495868366627E-2</v>
      </c>
      <c r="W96" s="6">
        <f t="shared" si="23"/>
        <v>-2.239201458908126E-3</v>
      </c>
      <c r="X96" s="6">
        <f t="shared" si="24"/>
        <v>3.5579010086393913E-3</v>
      </c>
      <c r="Y96" s="10">
        <f t="shared" si="25"/>
        <v>2.5175373823149369E-2</v>
      </c>
    </row>
    <row r="97" spans="1:25" x14ac:dyDescent="0.4">
      <c r="A97" s="21">
        <v>46133</v>
      </c>
      <c r="B97" s="22">
        <v>6388.47</v>
      </c>
      <c r="C97" s="22">
        <v>1179.03</v>
      </c>
      <c r="D97" s="22">
        <v>3998.43</v>
      </c>
      <c r="E97" s="17">
        <v>4396169</v>
      </c>
      <c r="F97" s="17">
        <v>4396169</v>
      </c>
      <c r="G97">
        <f t="shared" si="18"/>
        <v>1.6269765878281155</v>
      </c>
      <c r="H97">
        <f t="shared" si="26"/>
        <v>1.1402988306753332</v>
      </c>
      <c r="I97" s="6">
        <f t="shared" si="20"/>
        <v>1.2918469983674274</v>
      </c>
      <c r="J97" s="10">
        <f t="shared" si="21"/>
        <v>1.6589068489967969</v>
      </c>
      <c r="V97" s="13">
        <f t="shared" si="22"/>
        <v>4.6114327843755753E-3</v>
      </c>
      <c r="W97" s="6">
        <f t="shared" si="23"/>
        <v>6.3255075043747531E-3</v>
      </c>
      <c r="X97" s="6">
        <f t="shared" si="24"/>
        <v>1.7726436138181341E-3</v>
      </c>
      <c r="Y97" s="10">
        <f t="shared" si="25"/>
        <v>2.746077835550499E-3</v>
      </c>
    </row>
    <row r="98" spans="1:25" x14ac:dyDescent="0.4">
      <c r="A98" s="21">
        <v>46134</v>
      </c>
      <c r="B98" s="22">
        <v>6417.93</v>
      </c>
      <c r="C98" s="22">
        <v>1181.1199999999999</v>
      </c>
      <c r="D98" s="22">
        <v>4009.41</v>
      </c>
      <c r="E98" s="17">
        <v>4423977</v>
      </c>
      <c r="F98" s="17">
        <v>4423977</v>
      </c>
      <c r="G98">
        <f t="shared" si="18"/>
        <v>1.6344792810046376</v>
      </c>
      <c r="H98">
        <f t="shared" si="26"/>
        <v>1.1475117994859998</v>
      </c>
      <c r="I98" s="6">
        <f t="shared" si="20"/>
        <v>1.2941369826991136</v>
      </c>
      <c r="J98" s="10">
        <f t="shared" si="21"/>
        <v>1.6634623363260699</v>
      </c>
      <c r="V98" s="13">
        <f t="shared" si="22"/>
        <v>9.018484152990159E-3</v>
      </c>
      <c r="W98" s="6">
        <f t="shared" si="23"/>
        <v>-7.9896437074604872E-3</v>
      </c>
      <c r="X98" s="6">
        <f t="shared" si="24"/>
        <v>-5.7657138986724763E-3</v>
      </c>
      <c r="Y98" s="10">
        <f t="shared" si="25"/>
        <v>9.4677271718281754E-3</v>
      </c>
    </row>
    <row r="99" spans="1:25" x14ac:dyDescent="0.4">
      <c r="A99" s="21">
        <v>46135</v>
      </c>
      <c r="B99" s="22">
        <v>6475.81</v>
      </c>
      <c r="C99" s="22">
        <v>1174.31</v>
      </c>
      <c r="D99" s="22">
        <v>4047.37</v>
      </c>
      <c r="E99" s="17">
        <v>4388631</v>
      </c>
      <c r="F99" s="17">
        <v>4388631</v>
      </c>
      <c r="G99">
        <f t="shared" si="18"/>
        <v>1.6492198064987686</v>
      </c>
      <c r="H99">
        <f t="shared" si="26"/>
        <v>1.1383435890579998</v>
      </c>
      <c r="I99" s="6">
        <f t="shared" si="20"/>
        <v>1.2866753591111793</v>
      </c>
      <c r="J99" s="10">
        <f t="shared" si="21"/>
        <v>1.679211543887017</v>
      </c>
      <c r="V99" s="13">
        <f t="shared" si="22"/>
        <v>-2.7795750647391651E-5</v>
      </c>
      <c r="W99" s="6">
        <f t="shared" si="23"/>
        <v>7.6488545061092414E-3</v>
      </c>
      <c r="X99" s="6">
        <f t="shared" si="24"/>
        <v>2.5146681881274918E-2</v>
      </c>
      <c r="Y99" s="10">
        <f t="shared" si="25"/>
        <v>1.9271774016218232E-4</v>
      </c>
    </row>
    <row r="100" spans="1:25" x14ac:dyDescent="0.4">
      <c r="A100" s="21">
        <v>46136</v>
      </c>
      <c r="B100" s="22">
        <v>6475.63</v>
      </c>
      <c r="C100" s="22">
        <v>1203.8399999999999</v>
      </c>
      <c r="D100" s="22">
        <v>4048.15</v>
      </c>
      <c r="E100" s="17">
        <v>4422199</v>
      </c>
      <c r="F100" s="17">
        <v>4422199</v>
      </c>
      <c r="G100">
        <f t="shared" si="18"/>
        <v>1.6491739651962645</v>
      </c>
      <c r="H100">
        <f t="shared" si="26"/>
        <v>1.1470506135486667</v>
      </c>
      <c r="I100" s="6">
        <f t="shared" si="20"/>
        <v>1.3190309750512232</v>
      </c>
      <c r="J100" s="10">
        <f t="shared" si="21"/>
        <v>1.6795351577410091</v>
      </c>
      <c r="V100" s="13">
        <f t="shared" si="22"/>
        <v>2.1526863023366025E-2</v>
      </c>
      <c r="W100" s="6">
        <f t="shared" si="23"/>
        <v>5.8541010931439661E-3</v>
      </c>
      <c r="X100" s="6">
        <f t="shared" si="24"/>
        <v>1.8557283359915175E-2</v>
      </c>
      <c r="Y100" s="10">
        <f t="shared" si="25"/>
        <v>2.3257537393624333E-2</v>
      </c>
    </row>
    <row r="101" spans="1:25" x14ac:dyDescent="0.4">
      <c r="A101" s="21">
        <v>46139</v>
      </c>
      <c r="B101" s="22">
        <v>6615.03</v>
      </c>
      <c r="C101" s="22">
        <v>1226.18</v>
      </c>
      <c r="D101" s="22">
        <v>4142.3</v>
      </c>
      <c r="E101" s="17">
        <v>4448087</v>
      </c>
      <c r="F101" s="17">
        <v>4448087</v>
      </c>
      <c r="G101">
        <f t="shared" si="18"/>
        <v>1.6846755072467459</v>
      </c>
      <c r="H101">
        <f t="shared" si="26"/>
        <v>1.1537655637993334</v>
      </c>
      <c r="I101" s="6">
        <f t="shared" si="20"/>
        <v>1.343508606615754</v>
      </c>
      <c r="J101" s="10">
        <f t="shared" si="21"/>
        <v>1.7185970094760774</v>
      </c>
      <c r="V101" s="13">
        <f t="shared" si="22"/>
        <v>3.9289315392371776E-3</v>
      </c>
      <c r="W101" s="6">
        <f t="shared" si="23"/>
        <v>1.0522276205478777E-2</v>
      </c>
      <c r="X101" s="6">
        <f t="shared" si="24"/>
        <v>-8.6447340520969095E-3</v>
      </c>
      <c r="Y101" s="10">
        <f t="shared" si="25"/>
        <v>2.2982401081523742E-3</v>
      </c>
    </row>
    <row r="102" spans="1:25" x14ac:dyDescent="0.4">
      <c r="A102" s="21">
        <v>46140</v>
      </c>
      <c r="B102" s="22">
        <v>6641.02</v>
      </c>
      <c r="C102" s="22">
        <v>1215.58</v>
      </c>
      <c r="D102" s="22">
        <v>4151.82</v>
      </c>
      <c r="E102" s="17">
        <v>4494891</v>
      </c>
      <c r="F102" s="17">
        <v>4494891</v>
      </c>
      <c r="G102">
        <f t="shared" si="18"/>
        <v>1.691294481980548</v>
      </c>
      <c r="H102">
        <f t="shared" si="26"/>
        <v>1.1659058037379999</v>
      </c>
      <c r="I102" s="6">
        <f t="shared" si="20"/>
        <v>1.3318943320148575</v>
      </c>
      <c r="J102" s="10">
        <f t="shared" si="21"/>
        <v>1.7225467580530061</v>
      </c>
      <c r="V102" s="13">
        <f t="shared" si="22"/>
        <v>7.5108944107982684E-3</v>
      </c>
      <c r="W102" s="6">
        <f t="shared" si="23"/>
        <v>2.181810415425151E-3</v>
      </c>
      <c r="X102" s="6">
        <f t="shared" si="24"/>
        <v>3.8500139850935655E-3</v>
      </c>
      <c r="Y102" s="10">
        <f t="shared" si="25"/>
        <v>7.2329725277108341E-3</v>
      </c>
    </row>
    <row r="103" spans="1:25" x14ac:dyDescent="0.4">
      <c r="A103" s="21">
        <v>46141</v>
      </c>
      <c r="B103" s="22">
        <v>6690.9</v>
      </c>
      <c r="C103" s="22">
        <v>1220.26</v>
      </c>
      <c r="D103" s="22">
        <v>4181.8500000000004</v>
      </c>
      <c r="E103" s="17">
        <v>4504698</v>
      </c>
      <c r="F103" s="17">
        <v>4504698</v>
      </c>
      <c r="G103">
        <f t="shared" si="18"/>
        <v>1.7039976162522696</v>
      </c>
      <c r="H103">
        <f t="shared" si="26"/>
        <v>1.1684495891640001</v>
      </c>
      <c r="I103" s="6">
        <f t="shared" si="20"/>
        <v>1.3370221438197816</v>
      </c>
      <c r="J103" s="10">
        <f t="shared" si="21"/>
        <v>1.7350058914317008</v>
      </c>
      <c r="V103" s="13"/>
    </row>
  </sheetData>
  <phoneticPr fontId="2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XH58</dc:creator>
  <cp:lastModifiedBy>석희 이</cp:lastModifiedBy>
  <dcterms:created xsi:type="dcterms:W3CDTF">2015-06-05T18:19:34Z</dcterms:created>
  <dcterms:modified xsi:type="dcterms:W3CDTF">2026-04-30T04:40:04Z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3e82b53c-8953-4ff4-ad4b-3c7ad751dab4</vt:lpwstr>
  </property>
  <property fmtid="{D5CDD505-2E9C-101B-9397-08002B2CF9AE}" pid="3" name="DST date">
    <vt:lpwstr>20260430130038</vt:lpwstr>
  </property>
</Properties>
</file>